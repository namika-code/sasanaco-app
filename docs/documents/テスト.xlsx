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namika\Documents\a\自作\python sasanaco\資料\GitHub用\"/>
    </mc:Choice>
  </mc:AlternateContent>
  <xr:revisionPtr revIDLastSave="0" documentId="13_ncr:1_{BF8876DB-5260-4660-A583-EE9CB1DC4DF6}" xr6:coauthVersionLast="47" xr6:coauthVersionMax="47" xr10:uidLastSave="{00000000-0000-0000-0000-000000000000}"/>
  <bookViews>
    <workbookView xWindow="-120" yWindow="-120" windowWidth="29040" windowHeight="15720" xr2:uid="{B2EF3880-613E-484C-A566-3AA1A3FC99C4}"/>
  </bookViews>
  <sheets>
    <sheet name="Auth" sheetId="8" r:id="rId1"/>
    <sheet name="Task" sheetId="2" r:id="rId2"/>
    <sheet name="Stock" sheetId="9" r:id="rId3"/>
    <sheet name="Other" sheetId="10" r:id="rId4"/>
    <sheet name="異常系" sheetId="3" r:id="rId5"/>
    <sheet name="参考" sheetId="4" r:id="rId6"/>
  </sheets>
  <definedNames>
    <definedName name="_xlnm._FilterDatabase" localSheetId="0" hidden="1">Auth!$B$5:$N$43</definedName>
    <definedName name="_xlnm._FilterDatabase" localSheetId="3" hidden="1">Other!$B$5:$N$111</definedName>
    <definedName name="_xlnm._FilterDatabase" localSheetId="2" hidden="1">Stock!$B$5:$K$86</definedName>
    <definedName name="_xlnm._FilterDatabase" localSheetId="1" hidden="1">Task!$B$5:$N$109</definedName>
    <definedName name="_xlnm.Print_Titles" localSheetId="0">Auth!$5:$6</definedName>
    <definedName name="_xlnm.Print_Titles" localSheetId="3">Other!$5:$6</definedName>
    <definedName name="_xlnm.Print_Titles" localSheetId="2">Stock!$5:$6</definedName>
    <definedName name="_xlnm.Print_Titles" localSheetId="1">Task!$5:$6</definedName>
    <definedName name="_xlnm.Print_Titles" localSheetId="4">異常系!$2:$3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9" l="1"/>
  <c r="G3" i="9" a="1"/>
  <c r="G3" i="9" s="1"/>
  <c r="F3" i="9"/>
  <c r="E3" i="9"/>
  <c r="I3" i="2"/>
  <c r="H3" i="2" a="1"/>
  <c r="H3" i="2" s="1"/>
  <c r="F3" i="2"/>
  <c r="E3" i="2"/>
  <c r="I3" i="8"/>
  <c r="H3" i="8" a="1"/>
  <c r="H3" i="8" s="1"/>
  <c r="F3" i="8"/>
  <c r="E3" i="8"/>
  <c r="I3" i="10"/>
  <c r="H3" i="10" a="1"/>
  <c r="H3" i="10" s="1"/>
  <c r="F3" i="10"/>
  <c r="E3" i="10"/>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s="1"/>
  <c r="M94" i="2" l="1"/>
  <c r="M92" i="2"/>
  <c r="M90" i="2"/>
  <c r="M88" i="2"/>
  <c r="M86" i="2"/>
  <c r="M84" i="2"/>
  <c r="M82" i="2"/>
  <c r="M80" i="2"/>
  <c r="M78" i="2"/>
  <c r="M95" i="2"/>
  <c r="M93" i="2"/>
  <c r="M91" i="2"/>
  <c r="M89" i="2"/>
  <c r="M87" i="2"/>
  <c r="M85" i="2"/>
  <c r="M83" i="2"/>
  <c r="M81" i="2"/>
  <c r="M7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<sst xmlns="http://schemas.openxmlformats.org/spreadsheetml/2006/main" count="2467" uniqueCount="847">
  <si>
    <t>テスト対象</t>
    <rPh sb="3" eb="5">
      <t>タイショウ</t>
    </rPh>
    <phoneticPr fontId="2"/>
  </si>
  <si>
    <t>「どんな品質を確認すべきか」という大きな視点（Why / What）</t>
    <phoneticPr fontId="2"/>
  </si>
  <si>
    <t>観点を具体化した「どんな状況をテストするか」（What）</t>
    <phoneticPr fontId="2"/>
  </si>
  <si>
    <t>条件を実行するための具体的な操作（How）</t>
    <phoneticPr fontId="2"/>
  </si>
  <si>
    <t>No</t>
    <phoneticPr fontId="2"/>
  </si>
  <si>
    <t>大項目</t>
    <rPh sb="0" eb="3">
      <t>ダイコウモク</t>
    </rPh>
    <phoneticPr fontId="2"/>
  </si>
  <si>
    <t>中項目</t>
    <rPh sb="0" eb="3">
      <t>チュウコウモク</t>
    </rPh>
    <phoneticPr fontId="2"/>
  </si>
  <si>
    <t>小項目</t>
    <rPh sb="0" eb="3">
      <t>ショウコウモク</t>
    </rPh>
    <phoneticPr fontId="2"/>
  </si>
  <si>
    <t>観点1</t>
    <rPh sb="0" eb="2">
      <t>カンテン</t>
    </rPh>
    <phoneticPr fontId="2"/>
  </si>
  <si>
    <t>観点2</t>
    <rPh sb="0" eb="2">
      <t>カンテン</t>
    </rPh>
    <phoneticPr fontId="2"/>
  </si>
  <si>
    <t>テスト条件</t>
    <rPh sb="3" eb="5">
      <t>ジョウケン</t>
    </rPh>
    <phoneticPr fontId="2"/>
  </si>
  <si>
    <t>テスト手順</t>
    <rPh sb="3" eb="5">
      <t>テジュン</t>
    </rPh>
    <phoneticPr fontId="2"/>
  </si>
  <si>
    <t>期待結果</t>
    <rPh sb="0" eb="4">
      <t>キタイケッカ</t>
    </rPh>
    <phoneticPr fontId="2"/>
  </si>
  <si>
    <t>アカウント管理機能</t>
  </si>
  <si>
    <t>ログイン画面</t>
  </si>
  <si>
    <t>入力項目：ユーザ名、
パスワード</t>
    <rPh sb="8" eb="9">
      <t>メイ</t>
    </rPh>
    <phoneticPr fontId="2"/>
  </si>
  <si>
    <t>正常系</t>
    <rPh sb="0" eb="3">
      <t>セイジョウケイ</t>
    </rPh>
    <phoneticPr fontId="2"/>
  </si>
  <si>
    <t>正しいユーザ名とパスワードの組み合わせの場合、ログインできる</t>
  </si>
  <si>
    <t>登録ユーザリストにユーザ名「test1」が登録されている</t>
    <rPh sb="21" eb="23">
      <t>トウロク</t>
    </rPh>
    <phoneticPr fontId="2"/>
  </si>
  <si>
    <t>正しいユーザ名(test1)とパスワードを入力し送信</t>
  </si>
  <si>
    <t>ログアウト後、別のユーザ名でログインできる</t>
  </si>
  <si>
    <t>登録ユーザリストにユーザ名「test２」が登録されている</t>
    <rPh sb="21" eb="23">
      <t>トウロク</t>
    </rPh>
    <phoneticPr fontId="2"/>
  </si>
  <si>
    <t>一度別アカウントでログイン後、ログアウトしてから正しい情報(test２)を入力し送信</t>
    <rPh sb="0" eb="2">
      <t>イチド</t>
    </rPh>
    <rPh sb="2" eb="3">
      <t>ベツ</t>
    </rPh>
    <rPh sb="13" eb="14">
      <t>ゴ</t>
    </rPh>
    <phoneticPr fontId="2"/>
  </si>
  <si>
    <t>準異常系</t>
    <rPh sb="0" eb="1">
      <t>ジュン</t>
    </rPh>
    <rPh sb="1" eb="4">
      <t>イジョウケイ</t>
    </rPh>
    <phoneticPr fontId="2"/>
  </si>
  <si>
    <t>正しくないユーザ名とパスワードの組み合わせの場合、ログインできない</t>
  </si>
  <si>
    <t>正しくないユーザ名とパスワードの組み合わせを入力する</t>
    <rPh sb="0" eb="1">
      <t>タダ</t>
    </rPh>
    <rPh sb="22" eb="24">
      <t>ニュウリョク</t>
    </rPh>
    <phoneticPr fontId="2"/>
  </si>
  <si>
    <t>登録されたユーザ名と間違ったパスワードの組み合わせで入力し送信</t>
    <rPh sb="0" eb="2">
      <t>トウロク</t>
    </rPh>
    <rPh sb="10" eb="12">
      <t>マチガ</t>
    </rPh>
    <rPh sb="26" eb="28">
      <t>ニュウリョク</t>
    </rPh>
    <rPh sb="29" eb="31">
      <t>ソウシン</t>
    </rPh>
    <phoneticPr fontId="2"/>
  </si>
  <si>
    <t>「IDまたはパスワードが間違っています」というメッセージが表示される</t>
    <rPh sb="12" eb="14">
      <t>マチガ</t>
    </rPh>
    <phoneticPr fontId="2"/>
  </si>
  <si>
    <t>登録されていないユーザ名とパスワードの組み合わせで入力し送信</t>
    <rPh sb="0" eb="2">
      <t>トウロク</t>
    </rPh>
    <rPh sb="25" eb="27">
      <t>ニュウリョク</t>
    </rPh>
    <rPh sb="28" eb="30">
      <t>ソウシン</t>
    </rPh>
    <phoneticPr fontId="2"/>
  </si>
  <si>
    <t>ユーザ名を入力しない</t>
    <rPh sb="3" eb="4">
      <t>メイ</t>
    </rPh>
    <rPh sb="5" eb="7">
      <t>ニュウリョク</t>
    </rPh>
    <phoneticPr fontId="2"/>
  </si>
  <si>
    <t>ユーザ名空欄のまま、送信</t>
  </si>
  <si>
    <t>パスワードを入力しない</t>
    <rPh sb="6" eb="8">
      <t>ニュウリョク</t>
    </rPh>
    <phoneticPr fontId="2"/>
  </si>
  <si>
    <t>ユーザ名を入力し、パスワード空欄のまま、送信</t>
    <rPh sb="5" eb="7">
      <t>ニュウリョク</t>
    </rPh>
    <rPh sb="20" eb="22">
      <t>ソウシン</t>
    </rPh>
    <phoneticPr fontId="2"/>
  </si>
  <si>
    <t>リンク：こちら</t>
    <phoneticPr fontId="2"/>
  </si>
  <si>
    <t>サインアップページに遷移できる</t>
    <rPh sb="10" eb="12">
      <t>センイ</t>
    </rPh>
    <phoneticPr fontId="2"/>
  </si>
  <si>
    <r>
      <rPr>
        <u/>
        <sz val="11"/>
        <color theme="1"/>
        <rFont val="游ゴシック"/>
        <family val="3"/>
        <charset val="128"/>
        <scheme val="minor"/>
      </rPr>
      <t>こちら</t>
    </r>
    <r>
      <rPr>
        <sz val="11"/>
        <color theme="1"/>
        <rFont val="游ゴシック"/>
        <family val="2"/>
        <charset val="128"/>
        <scheme val="minor"/>
      </rPr>
      <t>をクリックする</t>
    </r>
    <phoneticPr fontId="2"/>
  </si>
  <si>
    <t>サインアップページに遷移する</t>
    <rPh sb="10" eb="12">
      <t>センイ</t>
    </rPh>
    <phoneticPr fontId="2"/>
  </si>
  <si>
    <t>サインアップ画面</t>
    <phoneticPr fontId="2"/>
  </si>
  <si>
    <t>正しいユーザ名とパスワードの組み合わせの場合、サインアップできる</t>
  </si>
  <si>
    <t>ユーザ名は1～●文字、パスワードは4文字以上10文字以内、【英数字と記号:!@#$%^&amp;*()】を含めて入力する</t>
    <rPh sb="3" eb="4">
      <t>メイ</t>
    </rPh>
    <rPh sb="8" eb="10">
      <t>モジ</t>
    </rPh>
    <phoneticPr fontId="2"/>
  </si>
  <si>
    <t>正しいユーザ名「test3」とパスワード「!pass1」を入力し送信
(部署は初期値の総務を選択)</t>
    <rPh sb="36" eb="38">
      <t>ブショ</t>
    </rPh>
    <rPh sb="39" eb="42">
      <t>ショキチ</t>
    </rPh>
    <rPh sb="43" eb="45">
      <t>ソウム</t>
    </rPh>
    <rPh sb="46" eb="48">
      <t>センタク</t>
    </rPh>
    <phoneticPr fontId="2"/>
  </si>
  <si>
    <t>正しくないユーザ名とパスワードの組み合わせの場合、サインアップできない</t>
  </si>
  <si>
    <t>ユーザ名を●文字以上で入力する
条件を満たしたパスワードを入力</t>
    <rPh sb="3" eb="4">
      <t>メイ</t>
    </rPh>
    <rPh sb="6" eb="10">
      <t>モジイジョウ</t>
    </rPh>
    <rPh sb="11" eb="13">
      <t>ニュウリョク</t>
    </rPh>
    <rPh sb="16" eb="18">
      <t>ジョウケン</t>
    </rPh>
    <rPh sb="19" eb="20">
      <t>ミ</t>
    </rPh>
    <rPh sb="29" eb="31">
      <t>ニュウリョク</t>
    </rPh>
    <phoneticPr fontId="2"/>
  </si>
  <si>
    <t>ユーザ名「testtesttest3」と正しいパスワード「!pass1」を入力し送信</t>
    <rPh sb="3" eb="4">
      <t>メイ</t>
    </rPh>
    <rPh sb="20" eb="21">
      <t>タダ</t>
    </rPh>
    <rPh sb="37" eb="39">
      <t>ニュウリョク</t>
    </rPh>
    <rPh sb="40" eb="42">
      <t>ソウシン</t>
    </rPh>
    <phoneticPr fontId="2"/>
  </si>
  <si>
    <t>「ユーザ名の長さは●文字以内です」というメッセージが表示される</t>
    <rPh sb="4" eb="5">
      <t>メイ</t>
    </rPh>
    <phoneticPr fontId="2"/>
  </si>
  <si>
    <t>ユーザ名を入力しない
条件を満たしたパスワードを入力</t>
    <rPh sb="3" eb="4">
      <t>メイ</t>
    </rPh>
    <rPh sb="5" eb="7">
      <t>ニュウリョク</t>
    </rPh>
    <phoneticPr fontId="2"/>
  </si>
  <si>
    <t>ユーザ名空欄のまま、正しいパスワード「!pass1」を入力し送信</t>
    <phoneticPr fontId="2"/>
  </si>
  <si>
    <t>「ユーザ名は必須入力です」というメッセージが表示される</t>
  </si>
  <si>
    <t>登録済みのユーザ名を入力
条件を満たしたパスワードを入力</t>
    <rPh sb="0" eb="3">
      <t>トウロクズ</t>
    </rPh>
    <rPh sb="8" eb="9">
      <t>メイ</t>
    </rPh>
    <rPh sb="10" eb="12">
      <t>ニュウリョク</t>
    </rPh>
    <phoneticPr fontId="2"/>
  </si>
  <si>
    <t>登録済みのユーザ名「test1」を入力し、正しいパスワード「!pass1」を入力し、送信</t>
    <rPh sb="0" eb="3">
      <t>トウロクズ</t>
    </rPh>
    <rPh sb="8" eb="9">
      <t>メイ</t>
    </rPh>
    <rPh sb="17" eb="19">
      <t>ニュウリョク</t>
    </rPh>
    <rPh sb="21" eb="22">
      <t>タダ</t>
    </rPh>
    <rPh sb="38" eb="40">
      <t>ニュウリョク</t>
    </rPh>
    <phoneticPr fontId="2"/>
  </si>
  <si>
    <t>「そのユーザ名は既に使用されています」というメッセージが表示される</t>
  </si>
  <si>
    <t>条件を満たしたユーザ名を入力
パスワードを4文字未満で入力する</t>
    <rPh sb="0" eb="2">
      <t>ジョウケン</t>
    </rPh>
    <rPh sb="3" eb="4">
      <t>ミ</t>
    </rPh>
    <rPh sb="10" eb="11">
      <t>メイ</t>
    </rPh>
    <rPh sb="12" eb="14">
      <t>ニュウリョク</t>
    </rPh>
    <rPh sb="22" eb="26">
      <t>モジミマン</t>
    </rPh>
    <rPh sb="27" eb="29">
      <t>ニュウリョク</t>
    </rPh>
    <phoneticPr fontId="2"/>
  </si>
  <si>
    <t>正しいユーザ名「test4」を入力し、パスワードを３文字「!p1]で入力し、送信</t>
    <rPh sb="26" eb="28">
      <t>モジ</t>
    </rPh>
    <rPh sb="34" eb="36">
      <t>ニュウリョク</t>
    </rPh>
    <phoneticPr fontId="2"/>
  </si>
  <si>
    <t>条件を満たしたユーザ名を入力
パスワードを11文字以上で入力する</t>
    <rPh sb="23" eb="27">
      <t>モジイジョウ</t>
    </rPh>
    <rPh sb="28" eb="30">
      <t>ニュウリョク</t>
    </rPh>
    <phoneticPr fontId="2"/>
  </si>
  <si>
    <t>正しいユーザ名「test4」を入力し、パスワードを11文字「!passpassp1」で入力し、送信</t>
    <rPh sb="27" eb="29">
      <t>モジ</t>
    </rPh>
    <rPh sb="43" eb="45">
      <t>ニュウリョク</t>
    </rPh>
    <phoneticPr fontId="2"/>
  </si>
  <si>
    <t>条件を満たしたユーザ名を入力
パスワードに【英数字と記号:!@#$%^&amp;*()】を含めずに入力する</t>
    <rPh sb="45" eb="47">
      <t>ニュウリョク</t>
    </rPh>
    <phoneticPr fontId="2"/>
  </si>
  <si>
    <t>正しいユーザ名「test4」を入力し、パスワードを英字なし「!12345」で入力し、送信</t>
    <rPh sb="25" eb="27">
      <t>エイジ</t>
    </rPh>
    <rPh sb="38" eb="40">
      <t>ニュウリョク</t>
    </rPh>
    <phoneticPr fontId="2"/>
  </si>
  <si>
    <t>正しいユーザ名「test4」を入力し、パスワードを数字なし「!pass」で入力し、送信</t>
    <rPh sb="25" eb="27">
      <t>スウジ</t>
    </rPh>
    <rPh sb="37" eb="39">
      <t>ニュウリョク</t>
    </rPh>
    <phoneticPr fontId="2"/>
  </si>
  <si>
    <t>正しいユーザ名「test4」を入力し、パスワードを記号なし「pass1」で入力し、送信</t>
    <rPh sb="25" eb="27">
      <t>キゴウ</t>
    </rPh>
    <rPh sb="37" eb="39">
      <t>ニュウリョク</t>
    </rPh>
    <phoneticPr fontId="2"/>
  </si>
  <si>
    <t>正しいユーザ名「test4」を入力し、パスワードを数字記号なし「passpass」で入力し、送信</t>
    <rPh sb="25" eb="27">
      <t>スウジ</t>
    </rPh>
    <rPh sb="27" eb="29">
      <t>キゴウ</t>
    </rPh>
    <rPh sb="42" eb="44">
      <t>ニュウリョク</t>
    </rPh>
    <phoneticPr fontId="2"/>
  </si>
  <si>
    <t>正しいユーザ名「test4」を入力し、パスワード空欄のまま、送信</t>
    <rPh sb="0" eb="1">
      <t>タダ</t>
    </rPh>
    <rPh sb="15" eb="17">
      <t>ニュウリョク</t>
    </rPh>
    <rPh sb="30" eb="32">
      <t>ソウシン</t>
    </rPh>
    <phoneticPr fontId="2"/>
  </si>
  <si>
    <t>選択項目：部署</t>
    <rPh sb="0" eb="4">
      <t>センタクコウモク</t>
    </rPh>
    <rPh sb="5" eb="7">
      <t>ブショ</t>
    </rPh>
    <phoneticPr fontId="2"/>
  </si>
  <si>
    <t>選択した部署が正しく登録できる</t>
    <rPh sb="0" eb="2">
      <t>センタク</t>
    </rPh>
    <rPh sb="4" eb="6">
      <t>ブショ</t>
    </rPh>
    <rPh sb="7" eb="8">
      <t>タダ</t>
    </rPh>
    <rPh sb="10" eb="12">
      <t>トウロク</t>
    </rPh>
    <phoneticPr fontId="2"/>
  </si>
  <si>
    <t>管理者でサインイン
総務が選択されている</t>
    <rPh sb="0" eb="3">
      <t>カンリシャ</t>
    </rPh>
    <rPh sb="10" eb="12">
      <t>ソウム</t>
    </rPh>
    <rPh sb="13" eb="15">
      <t>センタク</t>
    </rPh>
    <phoneticPr fontId="2"/>
  </si>
  <si>
    <t>正しいユーザ名「soumu」とパスワード「!pass1」を入力し、総務を選択して送信</t>
    <rPh sb="33" eb="35">
      <t>ソウム</t>
    </rPh>
    <rPh sb="36" eb="38">
      <t>センタク</t>
    </rPh>
    <rPh sb="40" eb="42">
      <t>ソウシン</t>
    </rPh>
    <phoneticPr fontId="2"/>
  </si>
  <si>
    <t>管理者メニューページで、総務部と表示される</t>
    <rPh sb="12" eb="15">
      <t>ソウムブ</t>
    </rPh>
    <rPh sb="16" eb="18">
      <t>ヒョウジ</t>
    </rPh>
    <phoneticPr fontId="2"/>
  </si>
  <si>
    <t>管理者でサインイン
経理が選択されている</t>
    <rPh sb="10" eb="12">
      <t>ケイリ</t>
    </rPh>
    <rPh sb="13" eb="15">
      <t>センタク</t>
    </rPh>
    <phoneticPr fontId="2"/>
  </si>
  <si>
    <t>正しいユーザ名「keiri」とパスワード「!pass1」を入力し、経理を選択して送信</t>
    <rPh sb="33" eb="35">
      <t>ケイリ</t>
    </rPh>
    <rPh sb="36" eb="38">
      <t>センタク</t>
    </rPh>
    <rPh sb="40" eb="42">
      <t>ソウシン</t>
    </rPh>
    <phoneticPr fontId="2"/>
  </si>
  <si>
    <t>管理者メニューページで、経理部と表示される</t>
    <rPh sb="12" eb="14">
      <t>ケイリ</t>
    </rPh>
    <rPh sb="14" eb="15">
      <t>ブ</t>
    </rPh>
    <rPh sb="16" eb="18">
      <t>ヒョウジ</t>
    </rPh>
    <phoneticPr fontId="2"/>
  </si>
  <si>
    <t>管理者でサインイン
営業が選択されている</t>
    <rPh sb="10" eb="12">
      <t>エイギョウ</t>
    </rPh>
    <rPh sb="13" eb="15">
      <t>センタク</t>
    </rPh>
    <phoneticPr fontId="2"/>
  </si>
  <si>
    <t>正しいユーザ名「eigyo」とパスワード「!pass1」を入力し、営業を選択して送信</t>
    <rPh sb="33" eb="35">
      <t>エイギョウ</t>
    </rPh>
    <rPh sb="36" eb="38">
      <t>センタク</t>
    </rPh>
    <rPh sb="40" eb="42">
      <t>ソウシン</t>
    </rPh>
    <phoneticPr fontId="2"/>
  </si>
  <si>
    <t>管理者メニューページで、営業部と表示される</t>
    <rPh sb="12" eb="14">
      <t>エイギョウ</t>
    </rPh>
    <rPh sb="14" eb="15">
      <t>ブ</t>
    </rPh>
    <rPh sb="16" eb="18">
      <t>ヒョウジ</t>
    </rPh>
    <phoneticPr fontId="2"/>
  </si>
  <si>
    <t>管理者でサインイン
開発が選択されている</t>
    <rPh sb="10" eb="12">
      <t>カイハツ</t>
    </rPh>
    <rPh sb="13" eb="15">
      <t>センタク</t>
    </rPh>
    <phoneticPr fontId="2"/>
  </si>
  <si>
    <t>正しいユーザ名「kaihatsu」とパスワード「!pass1」を入力し、開発を選択して送信</t>
    <rPh sb="36" eb="38">
      <t>カイハツ</t>
    </rPh>
    <rPh sb="39" eb="41">
      <t>センタク</t>
    </rPh>
    <rPh sb="43" eb="45">
      <t>ソウシン</t>
    </rPh>
    <phoneticPr fontId="2"/>
  </si>
  <si>
    <t>管理者メニューページで、開発部と表示される</t>
    <rPh sb="12" eb="15">
      <t>カイハツブ</t>
    </rPh>
    <rPh sb="16" eb="18">
      <t>ヒョウジ</t>
    </rPh>
    <phoneticPr fontId="2"/>
  </si>
  <si>
    <t>管理者以外でサインイン
総務が選択されている</t>
    <rPh sb="12" eb="14">
      <t>ソウム</t>
    </rPh>
    <rPh sb="15" eb="17">
      <t>センタク</t>
    </rPh>
    <phoneticPr fontId="2"/>
  </si>
  <si>
    <t>マイページで、総務部と表示される</t>
    <rPh sb="7" eb="10">
      <t>ソウムブ</t>
    </rPh>
    <rPh sb="11" eb="13">
      <t>ヒョウジ</t>
    </rPh>
    <phoneticPr fontId="2"/>
  </si>
  <si>
    <t>管理者以外でサインイン
経理が選択されている</t>
    <rPh sb="12" eb="14">
      <t>ケイリ</t>
    </rPh>
    <rPh sb="15" eb="17">
      <t>センタク</t>
    </rPh>
    <phoneticPr fontId="2"/>
  </si>
  <si>
    <t>マイページで、経理部と表示される</t>
    <rPh sb="7" eb="9">
      <t>ケイリ</t>
    </rPh>
    <rPh sb="9" eb="10">
      <t>ブ</t>
    </rPh>
    <rPh sb="11" eb="13">
      <t>ヒョウジ</t>
    </rPh>
    <phoneticPr fontId="2"/>
  </si>
  <si>
    <t>管理者以外でサインイン
営業が選択されている</t>
    <rPh sb="12" eb="14">
      <t>エイギョウ</t>
    </rPh>
    <rPh sb="15" eb="17">
      <t>センタク</t>
    </rPh>
    <phoneticPr fontId="2"/>
  </si>
  <si>
    <t>マイページで、営業部と表示される</t>
    <rPh sb="7" eb="9">
      <t>エイギョウ</t>
    </rPh>
    <rPh sb="9" eb="10">
      <t>ブ</t>
    </rPh>
    <rPh sb="11" eb="13">
      <t>ヒョウジ</t>
    </rPh>
    <phoneticPr fontId="2"/>
  </si>
  <si>
    <t>管理者以外でサインイン
開発が選択されている</t>
    <rPh sb="12" eb="14">
      <t>カイハツ</t>
    </rPh>
    <rPh sb="15" eb="17">
      <t>センタク</t>
    </rPh>
    <phoneticPr fontId="2"/>
  </si>
  <si>
    <t>マイページで、開発部と表示される</t>
    <rPh sb="7" eb="10">
      <t>カイハツブ</t>
    </rPh>
    <rPh sb="11" eb="13">
      <t>ヒョウジ</t>
    </rPh>
    <phoneticPr fontId="2"/>
  </si>
  <si>
    <t>ログインページに遷移できる</t>
    <rPh sb="8" eb="10">
      <t>センイ</t>
    </rPh>
    <phoneticPr fontId="2"/>
  </si>
  <si>
    <t>ログインページに遷移する</t>
    <rPh sb="8" eb="10">
      <t>センイ</t>
    </rPh>
    <phoneticPr fontId="2"/>
  </si>
  <si>
    <t>トップ画面</t>
    <rPh sb="3" eb="5">
      <t>ガメン</t>
    </rPh>
    <phoneticPr fontId="2"/>
  </si>
  <si>
    <t>表示：ユーザ名(画面上部)</t>
    <rPh sb="0" eb="2">
      <t>ヒョウジ</t>
    </rPh>
    <rPh sb="6" eb="7">
      <t>メイ</t>
    </rPh>
    <rPh sb="8" eb="10">
      <t>ガメン</t>
    </rPh>
    <rPh sb="10" eb="12">
      <t>ジョウブ</t>
    </rPh>
    <phoneticPr fontId="2"/>
  </si>
  <si>
    <t>ログインユーザ名が表示できる</t>
    <rPh sb="7" eb="8">
      <t>メイ</t>
    </rPh>
    <rPh sb="9" eb="11">
      <t>ヒョウジ</t>
    </rPh>
    <phoneticPr fontId="2"/>
  </si>
  <si>
    <t>ログインする</t>
    <phoneticPr fontId="2"/>
  </si>
  <si>
    <t>ログインユーザ名が画面上部に表示される</t>
    <rPh sb="7" eb="8">
      <t>メイ</t>
    </rPh>
    <rPh sb="9" eb="13">
      <t>ガメンジョウブ</t>
    </rPh>
    <rPh sb="14" eb="16">
      <t>ヒョウジ</t>
    </rPh>
    <phoneticPr fontId="2"/>
  </si>
  <si>
    <t>表示：あいさつメッセージ</t>
    <rPh sb="0" eb="2">
      <t>ヒョウジ</t>
    </rPh>
    <phoneticPr fontId="2"/>
  </si>
  <si>
    <t>時間帯に合わせた挨拶が表示できる</t>
    <rPh sb="0" eb="3">
      <t>ジカンタイ</t>
    </rPh>
    <rPh sb="4" eb="5">
      <t>ア</t>
    </rPh>
    <rPh sb="8" eb="10">
      <t>アイサツ</t>
    </rPh>
    <rPh sb="11" eb="13">
      <t>ヒョウジ</t>
    </rPh>
    <phoneticPr fontId="2"/>
  </si>
  <si>
    <t>0～10時にログインする</t>
    <rPh sb="4" eb="5">
      <t>ジ</t>
    </rPh>
    <phoneticPr fontId="2"/>
  </si>
  <si>
    <t>0:00にログインする</t>
    <phoneticPr fontId="2"/>
  </si>
  <si>
    <t>「おはよう、ユーザ名」が表示される</t>
    <rPh sb="9" eb="10">
      <t>メイ</t>
    </rPh>
    <rPh sb="12" eb="14">
      <t>ヒョウジ</t>
    </rPh>
    <phoneticPr fontId="2"/>
  </si>
  <si>
    <t>9:59にログインする</t>
    <phoneticPr fontId="2"/>
  </si>
  <si>
    <t>10～17時にログインする</t>
    <rPh sb="5" eb="6">
      <t>ジ</t>
    </rPh>
    <phoneticPr fontId="2"/>
  </si>
  <si>
    <t>10:00にログインする</t>
    <phoneticPr fontId="2"/>
  </si>
  <si>
    <t>「こんにちは、ユーザ名」が表示される</t>
    <rPh sb="10" eb="11">
      <t>メイ</t>
    </rPh>
    <rPh sb="13" eb="15">
      <t>ヒョウジ</t>
    </rPh>
    <phoneticPr fontId="2"/>
  </si>
  <si>
    <t>16:59にログインする</t>
    <phoneticPr fontId="2"/>
  </si>
  <si>
    <t>17～24時にログインする</t>
    <rPh sb="5" eb="6">
      <t>ジ</t>
    </rPh>
    <phoneticPr fontId="2"/>
  </si>
  <si>
    <t>17:00にログインする</t>
    <phoneticPr fontId="2"/>
  </si>
  <si>
    <t>「こんばんは、ユーザ名」が表示される</t>
    <rPh sb="10" eb="11">
      <t>メイ</t>
    </rPh>
    <rPh sb="13" eb="15">
      <t>ヒョウジ</t>
    </rPh>
    <phoneticPr fontId="2"/>
  </si>
  <si>
    <t>23:59にログインする</t>
    <phoneticPr fontId="2"/>
  </si>
  <si>
    <t>表示：ユーザ名(挨拶後)</t>
    <rPh sb="0" eb="2">
      <t>ヒョウジ</t>
    </rPh>
    <rPh sb="6" eb="7">
      <t>メイ</t>
    </rPh>
    <rPh sb="8" eb="11">
      <t>アイサツゴ</t>
    </rPh>
    <phoneticPr fontId="2"/>
  </si>
  <si>
    <t>「あいさつ、ユーザ名」が表示される</t>
    <rPh sb="9" eb="10">
      <t>メイ</t>
    </rPh>
    <rPh sb="12" eb="14">
      <t>ヒョウジ</t>
    </rPh>
    <phoneticPr fontId="2"/>
  </si>
  <si>
    <t>ボタン：タスク管理</t>
    <rPh sb="7" eb="9">
      <t>カンリ</t>
    </rPh>
    <phoneticPr fontId="2"/>
  </si>
  <si>
    <t>タスク一覧ページに遷移できる</t>
    <rPh sb="3" eb="5">
      <t>イチラン</t>
    </rPh>
    <rPh sb="9" eb="11">
      <t>センイ</t>
    </rPh>
    <phoneticPr fontId="2"/>
  </si>
  <si>
    <t>タスク管理をクリック</t>
    <rPh sb="3" eb="5">
      <t>カンリ</t>
    </rPh>
    <phoneticPr fontId="2"/>
  </si>
  <si>
    <t>タスク一覧ページに遷移する</t>
    <rPh sb="3" eb="5">
      <t>イチラン</t>
    </rPh>
    <rPh sb="9" eb="11">
      <t>センイ</t>
    </rPh>
    <phoneticPr fontId="2"/>
  </si>
  <si>
    <t>ボタン：在庫管理</t>
    <rPh sb="4" eb="8">
      <t>ザイコカンリ</t>
    </rPh>
    <phoneticPr fontId="2"/>
  </si>
  <si>
    <t>在庫一覧ページに遷移できる</t>
    <rPh sb="0" eb="4">
      <t>ザイコイチラン</t>
    </rPh>
    <rPh sb="8" eb="10">
      <t>センイ</t>
    </rPh>
    <phoneticPr fontId="2"/>
  </si>
  <si>
    <t>在庫管理をクリック</t>
    <rPh sb="0" eb="4">
      <t>ザイコカンリ</t>
    </rPh>
    <phoneticPr fontId="2"/>
  </si>
  <si>
    <t>在庫一覧ページに遷移する</t>
    <rPh sb="0" eb="4">
      <t>ザイコイチラン</t>
    </rPh>
    <rPh sb="8" eb="10">
      <t>センイ</t>
    </rPh>
    <phoneticPr fontId="2"/>
  </si>
  <si>
    <t>ボタン：
Wikipediaの検索</t>
    <rPh sb="15" eb="17">
      <t>ケンサク</t>
    </rPh>
    <phoneticPr fontId="2"/>
  </si>
  <si>
    <t>Wikipediaの検索一覧ページに遷移できる</t>
    <rPh sb="10" eb="12">
      <t>ケンサク</t>
    </rPh>
    <rPh sb="12" eb="14">
      <t>イチラン</t>
    </rPh>
    <rPh sb="18" eb="20">
      <t>センイ</t>
    </rPh>
    <phoneticPr fontId="2"/>
  </si>
  <si>
    <t>Wikipediaの検索をクリック</t>
    <rPh sb="10" eb="12">
      <t>ケンサク</t>
    </rPh>
    <phoneticPr fontId="2"/>
  </si>
  <si>
    <t>Wikipediaの検索ページに遷移する</t>
    <rPh sb="10" eb="12">
      <t>ケンサク</t>
    </rPh>
    <rPh sb="16" eb="18">
      <t>センイ</t>
    </rPh>
    <phoneticPr fontId="2"/>
  </si>
  <si>
    <t>ボタン：休憩</t>
    <rPh sb="4" eb="6">
      <t>キュウケイ</t>
    </rPh>
    <phoneticPr fontId="2"/>
  </si>
  <si>
    <t>休憩ページに遷移できる</t>
    <rPh sb="0" eb="2">
      <t>キュウケイ</t>
    </rPh>
    <rPh sb="6" eb="8">
      <t>センイ</t>
    </rPh>
    <phoneticPr fontId="2"/>
  </si>
  <si>
    <t>休憩をクリック</t>
    <rPh sb="0" eb="2">
      <t>キュウケイ</t>
    </rPh>
    <phoneticPr fontId="2"/>
  </si>
  <si>
    <t>休憩ページに遷移する</t>
    <rPh sb="0" eb="2">
      <t>キュウケイ</t>
    </rPh>
    <rPh sb="6" eb="8">
      <t>センイ</t>
    </rPh>
    <phoneticPr fontId="2"/>
  </si>
  <si>
    <t>ボタン：管理者メニュー</t>
    <rPh sb="4" eb="7">
      <t>カンリシャ</t>
    </rPh>
    <phoneticPr fontId="2"/>
  </si>
  <si>
    <t>管理者でログインされたときに管理者メニューボタンが表示される</t>
    <rPh sb="0" eb="3">
      <t>カンリシャ</t>
    </rPh>
    <rPh sb="14" eb="17">
      <t>カンリシャ</t>
    </rPh>
    <rPh sb="25" eb="27">
      <t>ヒョウジ</t>
    </rPh>
    <phoneticPr fontId="2"/>
  </si>
  <si>
    <t>管理者でログインする</t>
    <rPh sb="0" eb="3">
      <t>カンリシャ</t>
    </rPh>
    <phoneticPr fontId="2"/>
  </si>
  <si>
    <t>管理者メニューボタンが表示される</t>
    <rPh sb="0" eb="3">
      <t>カンリシャ</t>
    </rPh>
    <rPh sb="11" eb="13">
      <t>ヒョウジ</t>
    </rPh>
    <phoneticPr fontId="2"/>
  </si>
  <si>
    <t>管理者メニューページに遷移できる</t>
    <rPh sb="0" eb="3">
      <t>カンリシャ</t>
    </rPh>
    <rPh sb="11" eb="13">
      <t>センイ</t>
    </rPh>
    <phoneticPr fontId="2"/>
  </si>
  <si>
    <t>管理者メニューをクリック</t>
    <rPh sb="0" eb="3">
      <t>カンリシャ</t>
    </rPh>
    <phoneticPr fontId="2"/>
  </si>
  <si>
    <t>管理者メニューページに遷移する</t>
    <rPh sb="0" eb="3">
      <t>カンリシャ</t>
    </rPh>
    <rPh sb="11" eb="13">
      <t>センイ</t>
    </rPh>
    <phoneticPr fontId="2"/>
  </si>
  <si>
    <t>ボタン：マイページ</t>
    <phoneticPr fontId="2"/>
  </si>
  <si>
    <t>管理者以外でログインされたときにマイページボタンが表示される</t>
    <rPh sb="0" eb="3">
      <t>カンリシャ</t>
    </rPh>
    <rPh sb="3" eb="5">
      <t>イガイ</t>
    </rPh>
    <rPh sb="25" eb="27">
      <t>ヒョウジ</t>
    </rPh>
    <phoneticPr fontId="2"/>
  </si>
  <si>
    <t>管理者以外でログインする</t>
    <rPh sb="0" eb="3">
      <t>カンリシャ</t>
    </rPh>
    <rPh sb="3" eb="5">
      <t>イガイ</t>
    </rPh>
    <phoneticPr fontId="2"/>
  </si>
  <si>
    <t>マイページボタンが表示される</t>
    <rPh sb="9" eb="11">
      <t>ヒョウジ</t>
    </rPh>
    <phoneticPr fontId="2"/>
  </si>
  <si>
    <t>マイページに遷移できる</t>
    <rPh sb="6" eb="8">
      <t>センイ</t>
    </rPh>
    <phoneticPr fontId="2"/>
  </si>
  <si>
    <t>マイページをクリック</t>
    <phoneticPr fontId="2"/>
  </si>
  <si>
    <t>マイページに遷移する</t>
    <rPh sb="6" eb="8">
      <t>センイ</t>
    </rPh>
    <phoneticPr fontId="2"/>
  </si>
  <si>
    <t>ボタン：ログアウト</t>
    <phoneticPr fontId="2"/>
  </si>
  <si>
    <t>ログアウトして、ログインページに遷移できる</t>
    <rPh sb="16" eb="18">
      <t>センイ</t>
    </rPh>
    <phoneticPr fontId="2"/>
  </si>
  <si>
    <t>ログアウトをクリック</t>
    <phoneticPr fontId="2"/>
  </si>
  <si>
    <t>ログアウトして、ログインページに遷移する</t>
    <rPh sb="16" eb="18">
      <t>センイ</t>
    </rPh>
    <phoneticPr fontId="2"/>
  </si>
  <si>
    <t>通知メッセージ機能</t>
    <rPh sb="0" eb="2">
      <t>ツウチ</t>
    </rPh>
    <rPh sb="7" eb="9">
      <t>キノウ</t>
    </rPh>
    <phoneticPr fontId="2"/>
  </si>
  <si>
    <t>表示：メッセージ</t>
    <rPh sb="0" eb="2">
      <t>ヒョウジ</t>
    </rPh>
    <phoneticPr fontId="2"/>
  </si>
  <si>
    <t>メッセージがない時、メッセージがないことを表示できる</t>
    <rPh sb="8" eb="9">
      <t>トキ</t>
    </rPh>
    <rPh sb="21" eb="23">
      <t>ヒョウジ</t>
    </rPh>
    <phoneticPr fontId="2"/>
  </si>
  <si>
    <t>「タスクの更新はありません。」と表示される</t>
    <rPh sb="16" eb="18">
      <t>ヒョウジ</t>
    </rPh>
    <phoneticPr fontId="2"/>
  </si>
  <si>
    <t>表示：タスク登録メッセージ</t>
    <rPh sb="0" eb="2">
      <t>ヒョウジ</t>
    </rPh>
    <rPh sb="6" eb="8">
      <t>トウロク</t>
    </rPh>
    <phoneticPr fontId="2"/>
  </si>
  <si>
    <t>ログインユーザが含まれるグループに関するタスクが新規作成されたときに、メッセージを表示できる</t>
    <rPh sb="8" eb="9">
      <t>フク</t>
    </rPh>
    <rPh sb="17" eb="18">
      <t>カン</t>
    </rPh>
    <rPh sb="24" eb="28">
      <t>シンキサクセイ</t>
    </rPh>
    <rPh sb="41" eb="43">
      <t>ヒョウジ</t>
    </rPh>
    <phoneticPr fontId="2"/>
  </si>
  <si>
    <t>「グループ1」にユーザ名「test1, test2」が登録されている</t>
    <rPh sb="27" eb="29">
      <t>トウロク</t>
    </rPh>
    <phoneticPr fontId="2"/>
  </si>
  <si>
    <t>グループ1を設定したタスクをtest2が作成する
test1でログインする</t>
    <rPh sb="6" eb="8">
      <t>セッテイ</t>
    </rPh>
    <rPh sb="20" eb="22">
      <t>サクセイ</t>
    </rPh>
    <phoneticPr fontId="2"/>
  </si>
  <si>
    <t>「【タスク名】(日時)test2さんがタスクを登録しました。」と表示される</t>
    <rPh sb="8" eb="10">
      <t>ニチジ</t>
    </rPh>
    <rPh sb="32" eb="34">
      <t>ヒョウジ</t>
    </rPh>
    <phoneticPr fontId="2"/>
  </si>
  <si>
    <t>ログインユーザが含まれるグループに関するタスクが新規作成されて7日経過したとき、メッセージが非表示になる</t>
    <rPh sb="8" eb="9">
      <t>フク</t>
    </rPh>
    <rPh sb="17" eb="18">
      <t>カン</t>
    </rPh>
    <rPh sb="24" eb="28">
      <t>シンキサクセイ</t>
    </rPh>
    <rPh sb="32" eb="35">
      <t>ニチケイカ</t>
    </rPh>
    <rPh sb="46" eb="49">
      <t>ヒヒョウジ</t>
    </rPh>
    <phoneticPr fontId="2"/>
  </si>
  <si>
    <t>メッセージを既読にしない</t>
    <rPh sb="6" eb="8">
      <t>キドク</t>
    </rPh>
    <phoneticPr fontId="2"/>
  </si>
  <si>
    <t>7日後にログインし、メッセージを確認</t>
    <rPh sb="1" eb="3">
      <t>ニチゴ</t>
    </rPh>
    <rPh sb="16" eb="18">
      <t>カクニン</t>
    </rPh>
    <phoneticPr fontId="2"/>
  </si>
  <si>
    <t>メッセージが非表示になる</t>
    <rPh sb="6" eb="9">
      <t>ヒヒョウジ</t>
    </rPh>
    <phoneticPr fontId="2"/>
  </si>
  <si>
    <t>表示：タスク登録メッセージ
ボタン：既読</t>
    <rPh sb="0" eb="2">
      <t>ヒョウジ</t>
    </rPh>
    <rPh sb="6" eb="8">
      <t>トウロク</t>
    </rPh>
    <rPh sb="18" eb="20">
      <t>キドク</t>
    </rPh>
    <phoneticPr fontId="2"/>
  </si>
  <si>
    <t>ボタンを押したときにメッセージを非表示にできる</t>
    <rPh sb="4" eb="5">
      <t>オ</t>
    </rPh>
    <rPh sb="16" eb="19">
      <t>ヒヒョウジ</t>
    </rPh>
    <phoneticPr fontId="2"/>
  </si>
  <si>
    <t>メッセージが表示されている</t>
    <rPh sb="6" eb="8">
      <t>ヒョウジ</t>
    </rPh>
    <phoneticPr fontId="2"/>
  </si>
  <si>
    <t>既読をクリック</t>
    <rPh sb="0" eb="2">
      <t>キドク</t>
    </rPh>
    <phoneticPr fontId="2"/>
  </si>
  <si>
    <t>表示：タスク更新メッセージ</t>
    <rPh sb="0" eb="2">
      <t>ヒョウジ</t>
    </rPh>
    <rPh sb="6" eb="8">
      <t>コウシン</t>
    </rPh>
    <phoneticPr fontId="2"/>
  </si>
  <si>
    <t>ログインユーザが含まれるグループに関するタスクが編集されたときに、メッセージを表示できる</t>
    <rPh sb="8" eb="9">
      <t>フク</t>
    </rPh>
    <rPh sb="17" eb="18">
      <t>カン</t>
    </rPh>
    <rPh sb="24" eb="26">
      <t>ヘンシュウ</t>
    </rPh>
    <rPh sb="39" eb="41">
      <t>ヒョウジ</t>
    </rPh>
    <phoneticPr fontId="2"/>
  </si>
  <si>
    <t>グループ1を設定したタスクをtest2が編集する
test1でログインする</t>
    <rPh sb="6" eb="8">
      <t>セッテイ</t>
    </rPh>
    <rPh sb="20" eb="22">
      <t>ヘンシュウ</t>
    </rPh>
    <phoneticPr fontId="2"/>
  </si>
  <si>
    <t>「【タスク名】(日時)test2さんがタスクを更新しました。」と表示される</t>
    <rPh sb="8" eb="10">
      <t>ニチジ</t>
    </rPh>
    <rPh sb="23" eb="25">
      <t>コウシン</t>
    </rPh>
    <rPh sb="32" eb="34">
      <t>ヒョウジ</t>
    </rPh>
    <phoneticPr fontId="2"/>
  </si>
  <si>
    <t>ログインユーザが含まれるグループに関するタスクが編集されて7日経過したとき、メッセージが非表示になる</t>
    <rPh sb="8" eb="9">
      <t>フク</t>
    </rPh>
    <rPh sb="17" eb="18">
      <t>カン</t>
    </rPh>
    <rPh sb="24" eb="26">
      <t>ヘンシュウ</t>
    </rPh>
    <phoneticPr fontId="2"/>
  </si>
  <si>
    <t>表示：タスク更新メッセージ
ボタン：既読</t>
    <rPh sb="0" eb="2">
      <t>ヒョウジ</t>
    </rPh>
    <rPh sb="6" eb="8">
      <t>コウシン</t>
    </rPh>
    <phoneticPr fontId="2"/>
  </si>
  <si>
    <t>表示：コメント追加メッセージ</t>
    <rPh sb="0" eb="2">
      <t>ヒョウジ</t>
    </rPh>
    <rPh sb="7" eb="9">
      <t>ツイカ</t>
    </rPh>
    <phoneticPr fontId="2"/>
  </si>
  <si>
    <t>ログインユーザが含まれるグループに関するタスクにコメント追加されたときに、メッセージを表示できる</t>
    <rPh sb="8" eb="9">
      <t>フク</t>
    </rPh>
    <rPh sb="17" eb="18">
      <t>カン</t>
    </rPh>
    <rPh sb="28" eb="30">
      <t>ツイカ</t>
    </rPh>
    <rPh sb="43" eb="45">
      <t>ヒョウジ</t>
    </rPh>
    <phoneticPr fontId="2"/>
  </si>
  <si>
    <t>グループ1を設定したタスクにtest2(タスク登録者)がコメント追加する
test1でログインする</t>
    <rPh sb="6" eb="8">
      <t>セッテイ</t>
    </rPh>
    <rPh sb="23" eb="26">
      <t>トウロクシャ</t>
    </rPh>
    <rPh sb="32" eb="34">
      <t>ツイカ</t>
    </rPh>
    <phoneticPr fontId="2"/>
  </si>
  <si>
    <t>「【タスク名】(日時)test2さんがタスクをコメントを追加しました。」と表示される</t>
    <rPh sb="8" eb="10">
      <t>ニチジ</t>
    </rPh>
    <rPh sb="28" eb="30">
      <t>ツイカ</t>
    </rPh>
    <rPh sb="37" eb="39">
      <t>ヒョウジ</t>
    </rPh>
    <phoneticPr fontId="2"/>
  </si>
  <si>
    <t>グループ1を設定したタスクにtest1(タスク登録者以外)がコメント追加する
test2でログインする</t>
    <rPh sb="6" eb="8">
      <t>セッテイ</t>
    </rPh>
    <rPh sb="23" eb="28">
      <t>トウロクシャイガイ</t>
    </rPh>
    <rPh sb="34" eb="36">
      <t>ツイカ</t>
    </rPh>
    <phoneticPr fontId="2"/>
  </si>
  <si>
    <t>「【タスク名】(日時)test1さんがタスクをコメントを追加しました。」と表示される</t>
    <rPh sb="8" eb="10">
      <t>ニチジ</t>
    </rPh>
    <rPh sb="28" eb="30">
      <t>ツイカ</t>
    </rPh>
    <rPh sb="37" eb="39">
      <t>ヒョウジ</t>
    </rPh>
    <phoneticPr fontId="2"/>
  </si>
  <si>
    <t>ログインユーザが含まれるグループに関するタスクにコメント追加されて7日経過したとき、メッセージが非表示になる</t>
    <rPh sb="8" eb="9">
      <t>フク</t>
    </rPh>
    <rPh sb="17" eb="18">
      <t>カン</t>
    </rPh>
    <rPh sb="28" eb="30">
      <t>ツイカ</t>
    </rPh>
    <phoneticPr fontId="2"/>
  </si>
  <si>
    <t>表示：コメント追加メッセージ
ボタン：既読</t>
    <rPh sb="0" eb="2">
      <t>ヒョウジ</t>
    </rPh>
    <rPh sb="7" eb="9">
      <t>ツイカ</t>
    </rPh>
    <phoneticPr fontId="2"/>
  </si>
  <si>
    <t>表示：締切1～3日前メッセージ</t>
    <rPh sb="0" eb="2">
      <t>ヒョウジ</t>
    </rPh>
    <rPh sb="3" eb="5">
      <t>シメキリ</t>
    </rPh>
    <rPh sb="8" eb="10">
      <t>ニチマエ</t>
    </rPh>
    <phoneticPr fontId="2"/>
  </si>
  <si>
    <t>ログインユーザが登録したタスクが期限まで4日以上あるとき、メッセージが表示されない</t>
    <rPh sb="8" eb="10">
      <t>トウロク</t>
    </rPh>
    <rPh sb="16" eb="18">
      <t>キゲン</t>
    </rPh>
    <rPh sb="21" eb="22">
      <t>ニチ</t>
    </rPh>
    <rPh sb="22" eb="24">
      <t>イジョウ</t>
    </rPh>
    <rPh sb="34" eb="36">
      <t>ヒョウジ</t>
    </rPh>
    <phoneticPr fontId="2"/>
  </si>
  <si>
    <t>登録されたタスクの期限まで4日以上ある</t>
    <rPh sb="0" eb="2">
      <t>トウロク</t>
    </rPh>
    <rPh sb="9" eb="11">
      <t>キゲン</t>
    </rPh>
    <rPh sb="14" eb="17">
      <t>ニチイジョウ</t>
    </rPh>
    <phoneticPr fontId="2"/>
  </si>
  <si>
    <t>締切日がログイン日＋4日のタスクを作成し、トップ画面に戻る</t>
    <rPh sb="0" eb="3">
      <t>シメキリビ</t>
    </rPh>
    <rPh sb="8" eb="9">
      <t>ビ</t>
    </rPh>
    <rPh sb="11" eb="12">
      <t>ニチ</t>
    </rPh>
    <rPh sb="17" eb="19">
      <t>サクセイ</t>
    </rPh>
    <rPh sb="24" eb="26">
      <t>ガメン</t>
    </rPh>
    <rPh sb="27" eb="28">
      <t>モド</t>
    </rPh>
    <phoneticPr fontId="2"/>
  </si>
  <si>
    <t>「【タスク名】期限まで３日をきっています。」と表示されない</t>
    <rPh sb="5" eb="6">
      <t>メイ</t>
    </rPh>
    <rPh sb="23" eb="25">
      <t>ヒョウジ</t>
    </rPh>
    <phoneticPr fontId="2"/>
  </si>
  <si>
    <t>ログインユーザが登録したタスクが期限3日をきったとき、メッセージが表示できる</t>
    <rPh sb="8" eb="10">
      <t>トウロク</t>
    </rPh>
    <rPh sb="16" eb="18">
      <t>キゲン</t>
    </rPh>
    <rPh sb="19" eb="20">
      <t>ニチ</t>
    </rPh>
    <rPh sb="33" eb="35">
      <t>ヒョウジ</t>
    </rPh>
    <phoneticPr fontId="2"/>
  </si>
  <si>
    <t>登録されたタスクの期限が3日をきっている</t>
    <rPh sb="0" eb="2">
      <t>トウロク</t>
    </rPh>
    <rPh sb="9" eb="11">
      <t>キゲン</t>
    </rPh>
    <rPh sb="13" eb="14">
      <t>ニチ</t>
    </rPh>
    <phoneticPr fontId="2"/>
  </si>
  <si>
    <t>締切日がログイン日＋3日のタスクを作成し、トップ画面に戻る</t>
    <rPh sb="0" eb="3">
      <t>シメキリビ</t>
    </rPh>
    <rPh sb="8" eb="9">
      <t>ビ</t>
    </rPh>
    <rPh sb="11" eb="12">
      <t>ニチ</t>
    </rPh>
    <rPh sb="17" eb="19">
      <t>サクセイ</t>
    </rPh>
    <rPh sb="24" eb="26">
      <t>ガメン</t>
    </rPh>
    <rPh sb="27" eb="28">
      <t>モド</t>
    </rPh>
    <phoneticPr fontId="2"/>
  </si>
  <si>
    <t>「【タスク名】期限まで３日をきっています。」と表示される</t>
    <rPh sb="5" eb="6">
      <t>メイ</t>
    </rPh>
    <rPh sb="23" eb="25">
      <t>ヒョウジ</t>
    </rPh>
    <phoneticPr fontId="2"/>
  </si>
  <si>
    <t>締切日がログイン日＋1日のタスクを作成し、トップ画面に戻る</t>
    <rPh sb="0" eb="3">
      <t>シメキリビ</t>
    </rPh>
    <rPh sb="8" eb="9">
      <t>ビ</t>
    </rPh>
    <rPh sb="11" eb="12">
      <t>ニチ</t>
    </rPh>
    <rPh sb="17" eb="19">
      <t>サクセイ</t>
    </rPh>
    <phoneticPr fontId="2"/>
  </si>
  <si>
    <t>ログインユーザが登録したタスクが期限当日であるとき、メッセージが表示されない</t>
    <rPh sb="8" eb="10">
      <t>トウロク</t>
    </rPh>
    <rPh sb="16" eb="18">
      <t>キゲン</t>
    </rPh>
    <rPh sb="18" eb="20">
      <t>トウジツ</t>
    </rPh>
    <rPh sb="31" eb="33">
      <t>ヒョウジ</t>
    </rPh>
    <phoneticPr fontId="2"/>
  </si>
  <si>
    <t>登録されたタスクの期限がログイン日である</t>
    <rPh sb="0" eb="2">
      <t>トウロク</t>
    </rPh>
    <rPh sb="9" eb="11">
      <t>キゲン</t>
    </rPh>
    <rPh sb="16" eb="17">
      <t>ビ</t>
    </rPh>
    <phoneticPr fontId="2"/>
  </si>
  <si>
    <t>締切日がログイン日のタスクを作成し、トップ画面に戻る</t>
    <rPh sb="0" eb="3">
      <t>シメキリビ</t>
    </rPh>
    <rPh sb="8" eb="9">
      <t>ニチ</t>
    </rPh>
    <rPh sb="14" eb="16">
      <t>サクセイ</t>
    </rPh>
    <phoneticPr fontId="2"/>
  </si>
  <si>
    <t>ログインユーザが登録したタスクが期限を過ぎたとき、メッセージが表示されない</t>
    <rPh sb="8" eb="10">
      <t>トウロク</t>
    </rPh>
    <rPh sb="16" eb="18">
      <t>キゲン</t>
    </rPh>
    <rPh sb="19" eb="20">
      <t>ス</t>
    </rPh>
    <rPh sb="31" eb="33">
      <t>ヒョウジ</t>
    </rPh>
    <phoneticPr fontId="2"/>
  </si>
  <si>
    <t>登録されたタスクの期限が過ぎている</t>
    <rPh sb="0" eb="2">
      <t>トウロク</t>
    </rPh>
    <rPh sb="9" eb="11">
      <t>キゲン</t>
    </rPh>
    <rPh sb="12" eb="13">
      <t>ス</t>
    </rPh>
    <phoneticPr fontId="2"/>
  </si>
  <si>
    <t>締切日がログイン日－1日のタスクを作成し、トップ画面に戻る</t>
    <rPh sb="0" eb="3">
      <t>シメキリビ</t>
    </rPh>
    <rPh sb="8" eb="9">
      <t>ニチ</t>
    </rPh>
    <rPh sb="11" eb="12">
      <t>ニチ</t>
    </rPh>
    <rPh sb="17" eb="19">
      <t>サクセイ</t>
    </rPh>
    <phoneticPr fontId="2"/>
  </si>
  <si>
    <t>表示：締切1～3日前メッセージ
ボタン：既読</t>
    <rPh sb="20" eb="22">
      <t>キドク</t>
    </rPh>
    <phoneticPr fontId="2"/>
  </si>
  <si>
    <t>締切日がログイン日＋3日のタスクを作成し、トップ画面に戻る。既読をクリックし、非表示を確認。さらに、翌日も非表示(再度表示されない)であることを確認</t>
    <rPh sb="30" eb="32">
      <t>キドク</t>
    </rPh>
    <rPh sb="39" eb="42">
      <t>ヒヒョウジ</t>
    </rPh>
    <rPh sb="43" eb="45">
      <t>カクニン</t>
    </rPh>
    <rPh sb="50" eb="52">
      <t>ヨクジツ</t>
    </rPh>
    <rPh sb="53" eb="56">
      <t>ヒヒョウジ</t>
    </rPh>
    <rPh sb="57" eb="61">
      <t>サイドヒョウジ</t>
    </rPh>
    <rPh sb="72" eb="74">
      <t>カクニン</t>
    </rPh>
    <phoneticPr fontId="2"/>
  </si>
  <si>
    <t>メッセージが非表示になる
一度非表示にしたメッセージは、次の日のも表示されない</t>
    <rPh sb="13" eb="18">
      <t>イチドヒヒョウジ</t>
    </rPh>
    <rPh sb="28" eb="29">
      <t>ツギ</t>
    </rPh>
    <rPh sb="30" eb="31">
      <t>ヒ</t>
    </rPh>
    <rPh sb="33" eb="35">
      <t>ヒョウジ</t>
    </rPh>
    <phoneticPr fontId="2"/>
  </si>
  <si>
    <t>表示：グループ削除メッセージ</t>
    <rPh sb="0" eb="2">
      <t>ヒョウジ</t>
    </rPh>
    <rPh sb="7" eb="9">
      <t>サクジョ</t>
    </rPh>
    <phoneticPr fontId="2"/>
  </si>
  <si>
    <t>ログインユーザが含まれるグループが削除されたときに、メッセージを表示できる</t>
    <rPh sb="8" eb="9">
      <t>フク</t>
    </rPh>
    <rPh sb="17" eb="19">
      <t>サクジョ</t>
    </rPh>
    <rPh sb="32" eb="34">
      <t>ヒョウジ</t>
    </rPh>
    <phoneticPr fontId="2"/>
  </si>
  <si>
    <t>管理人がグループ1を削除する
test1でログインする</t>
    <rPh sb="0" eb="3">
      <t>カンリニン</t>
    </rPh>
    <rPh sb="10" eb="12">
      <t>サクジョ</t>
    </rPh>
    <phoneticPr fontId="2"/>
  </si>
  <si>
    <t>「【タスク名】(日時)管理人がグループを削除しました。」と表示される</t>
    <rPh sb="8" eb="10">
      <t>ニチジ</t>
    </rPh>
    <rPh sb="11" eb="14">
      <t>カンリニン</t>
    </rPh>
    <rPh sb="20" eb="22">
      <t>サクジョ</t>
    </rPh>
    <rPh sb="29" eb="31">
      <t>ヒョウジ</t>
    </rPh>
    <phoneticPr fontId="2"/>
  </si>
  <si>
    <t>表示：グループ削除メッセージ</t>
    <rPh sb="0" eb="2">
      <t>ヒョウジ</t>
    </rPh>
    <phoneticPr fontId="2"/>
  </si>
  <si>
    <t>ログインユーザが含まれるグループが削除されて7日経過したとき、メッセージが非表示になる</t>
    <rPh sb="8" eb="9">
      <t>フク</t>
    </rPh>
    <rPh sb="17" eb="19">
      <t>サクジョ</t>
    </rPh>
    <phoneticPr fontId="2"/>
  </si>
  <si>
    <t>表示：グループ削除メッセージ
ボタン：既読</t>
    <rPh sb="0" eb="2">
      <t>ヒョウジ</t>
    </rPh>
    <phoneticPr fontId="2"/>
  </si>
  <si>
    <t>表示：タスク登録メッセージ</t>
    <rPh sb="0" eb="2">
      <t>ヒョウジ</t>
    </rPh>
    <phoneticPr fontId="2"/>
  </si>
  <si>
    <t>グループが削除されたとき、そのグループが設定されたタスクに関する通知が非表示になる</t>
    <rPh sb="5" eb="7">
      <t>サクジョ</t>
    </rPh>
    <rPh sb="20" eb="22">
      <t>セッテイ</t>
    </rPh>
    <rPh sb="29" eb="30">
      <t>カン</t>
    </rPh>
    <rPh sb="32" eb="34">
      <t>ツウチ</t>
    </rPh>
    <rPh sb="35" eb="38">
      <t>ヒヒョウジ</t>
    </rPh>
    <phoneticPr fontId="2"/>
  </si>
  <si>
    <t>メッセージ通知されたタスクに設定されたグループが削除されたとき、そのタスクに関する通知が非表示になる</t>
    <rPh sb="5" eb="7">
      <t>ツウチ</t>
    </rPh>
    <rPh sb="14" eb="16">
      <t>セッテイ</t>
    </rPh>
    <rPh sb="24" eb="26">
      <t>サクジョ</t>
    </rPh>
    <rPh sb="38" eb="39">
      <t>カン</t>
    </rPh>
    <rPh sb="41" eb="43">
      <t>ツウチ</t>
    </rPh>
    <rPh sb="44" eb="47">
      <t>ヒヒョウジ</t>
    </rPh>
    <phoneticPr fontId="2"/>
  </si>
  <si>
    <t>test2がグループ1を設定したタスクを登録し、test1でログイン後、通知を確認する
管理人がグループ1を削除する
再度test1でログイン後、通知を確認する</t>
    <rPh sb="34" eb="35">
      <t>ゴ</t>
    </rPh>
    <rPh sb="36" eb="38">
      <t>ツウチ</t>
    </rPh>
    <rPh sb="39" eb="41">
      <t>カクニン</t>
    </rPh>
    <rPh sb="59" eb="61">
      <t>サイド</t>
    </rPh>
    <rPh sb="71" eb="72">
      <t>アト</t>
    </rPh>
    <rPh sb="73" eb="75">
      <t>ツウチ</t>
    </rPh>
    <rPh sb="76" eb="78">
      <t>カクニン</t>
    </rPh>
    <phoneticPr fontId="2"/>
  </si>
  <si>
    <t>表示：タスク更新メッセージ</t>
    <rPh sb="0" eb="2">
      <t>ヒョウジ</t>
    </rPh>
    <phoneticPr fontId="2"/>
  </si>
  <si>
    <t>test2がグループ1を設定したタスクを更新し、test1でログイン後、通知を確認する
管理人がグループ1を削除する
再度test1でログイン後、通知を確認する</t>
    <rPh sb="20" eb="22">
      <t>コウシン</t>
    </rPh>
    <rPh sb="34" eb="35">
      <t>ゴ</t>
    </rPh>
    <rPh sb="36" eb="38">
      <t>ツウチ</t>
    </rPh>
    <rPh sb="39" eb="41">
      <t>カクニン</t>
    </rPh>
    <rPh sb="59" eb="61">
      <t>サイド</t>
    </rPh>
    <rPh sb="71" eb="72">
      <t>アト</t>
    </rPh>
    <rPh sb="73" eb="75">
      <t>ツウチ</t>
    </rPh>
    <rPh sb="76" eb="78">
      <t>カクニン</t>
    </rPh>
    <phoneticPr fontId="2"/>
  </si>
  <si>
    <t>test2がグループ1を設定したタスクにコメント追加し、test1でログイン後、通知を確認する
管理人がグループ1を削除する
再度test1でログイン後、通知を確認する</t>
    <rPh sb="24" eb="26">
      <t>ツイカ</t>
    </rPh>
    <rPh sb="38" eb="39">
      <t>ゴ</t>
    </rPh>
    <rPh sb="40" eb="42">
      <t>ツウチ</t>
    </rPh>
    <rPh sb="43" eb="45">
      <t>カクニン</t>
    </rPh>
    <rPh sb="63" eb="65">
      <t>サイド</t>
    </rPh>
    <rPh sb="75" eb="76">
      <t>アト</t>
    </rPh>
    <rPh sb="77" eb="79">
      <t>ツウチ</t>
    </rPh>
    <rPh sb="80" eb="82">
      <t>カクニン</t>
    </rPh>
    <phoneticPr fontId="2"/>
  </si>
  <si>
    <t>表示：物品在庫メッセージ</t>
    <rPh sb="0" eb="2">
      <t>ヒョウジ</t>
    </rPh>
    <rPh sb="3" eb="5">
      <t>ブッピン</t>
    </rPh>
    <rPh sb="5" eb="7">
      <t>ザイコ</t>
    </rPh>
    <phoneticPr fontId="2"/>
  </si>
  <si>
    <t>ログインユーザが総務部のとき、在庫情報が表示される</t>
    <rPh sb="8" eb="11">
      <t>ソウムブ</t>
    </rPh>
    <rPh sb="15" eb="19">
      <t>ザイコジョウホウ</t>
    </rPh>
    <rPh sb="20" eb="22">
      <t>ヒョウジ</t>
    </rPh>
    <phoneticPr fontId="2"/>
  </si>
  <si>
    <t>test1は総務部で登録されている
在庫数が下限を下回っている</t>
    <rPh sb="6" eb="9">
      <t>ソウムブ</t>
    </rPh>
    <rPh sb="10" eb="12">
      <t>トウロク</t>
    </rPh>
    <rPh sb="18" eb="20">
      <t>ザイコ</t>
    </rPh>
    <rPh sb="20" eb="21">
      <t>スウ</t>
    </rPh>
    <rPh sb="22" eb="24">
      <t>カゲン</t>
    </rPh>
    <rPh sb="25" eb="27">
      <t>シタマワ</t>
    </rPh>
    <phoneticPr fontId="2"/>
  </si>
  <si>
    <t>「⚠ 商品名が不足しています。」と表示される</t>
    <rPh sb="3" eb="6">
      <t>ショウヒンメイ</t>
    </rPh>
    <rPh sb="17" eb="19">
      <t>ヒョウジ</t>
    </rPh>
    <phoneticPr fontId="2"/>
  </si>
  <si>
    <t>test1は総務部で登録されている
在庫数を下限を上回っている</t>
    <rPh sb="6" eb="9">
      <t>ソウムブ</t>
    </rPh>
    <rPh sb="10" eb="12">
      <t>トウロク</t>
    </rPh>
    <rPh sb="18" eb="20">
      <t>ザイコ</t>
    </rPh>
    <rPh sb="20" eb="21">
      <t>スウ</t>
    </rPh>
    <rPh sb="22" eb="24">
      <t>カゲン</t>
    </rPh>
    <rPh sb="25" eb="27">
      <t>ウワマワ</t>
    </rPh>
    <phoneticPr fontId="2"/>
  </si>
  <si>
    <t>上記と同じ物品の在庫数を下限を上回るように変更する</t>
    <rPh sb="0" eb="2">
      <t>ジョウキ</t>
    </rPh>
    <rPh sb="3" eb="4">
      <t>オナ</t>
    </rPh>
    <rPh sb="5" eb="7">
      <t>ブッピン</t>
    </rPh>
    <rPh sb="8" eb="11">
      <t>ザイコスウ</t>
    </rPh>
    <rPh sb="12" eb="14">
      <t>カゲン</t>
    </rPh>
    <rPh sb="15" eb="17">
      <t>ウワマワ</t>
    </rPh>
    <rPh sb="21" eb="23">
      <t>ヘンコウ</t>
    </rPh>
    <phoneticPr fontId="2"/>
  </si>
  <si>
    <t>「在庫の不足はありません。」と表示される</t>
    <rPh sb="15" eb="17">
      <t>ヒョウジ</t>
    </rPh>
    <phoneticPr fontId="2"/>
  </si>
  <si>
    <t>test1は総務部で登録されている
在庫数が下限を下回っていない</t>
    <rPh sb="6" eb="9">
      <t>ソウムブ</t>
    </rPh>
    <rPh sb="10" eb="12">
      <t>トウロク</t>
    </rPh>
    <rPh sb="18" eb="20">
      <t>ザイコ</t>
    </rPh>
    <rPh sb="20" eb="21">
      <t>スウ</t>
    </rPh>
    <rPh sb="22" eb="24">
      <t>カゲン</t>
    </rPh>
    <rPh sb="25" eb="27">
      <t>シタマワ</t>
    </rPh>
    <phoneticPr fontId="2"/>
  </si>
  <si>
    <t>ログインユーザが総務部でないとき、在庫情報が表示されない</t>
    <rPh sb="8" eb="11">
      <t>ソウムブ</t>
    </rPh>
    <rPh sb="17" eb="21">
      <t>ザイコジョウホウ</t>
    </rPh>
    <rPh sb="22" eb="24">
      <t>ヒョウジ</t>
    </rPh>
    <phoneticPr fontId="2"/>
  </si>
  <si>
    <t>test3は総務部以外で登録されている
在庫数が下限を下回っている</t>
    <rPh sb="6" eb="8">
      <t>ソウム</t>
    </rPh>
    <rPh sb="8" eb="9">
      <t>ブ</t>
    </rPh>
    <rPh sb="9" eb="11">
      <t>イガイ</t>
    </rPh>
    <rPh sb="12" eb="14">
      <t>トウロク</t>
    </rPh>
    <phoneticPr fontId="2"/>
  </si>
  <si>
    <t>test3を経理部で登録する</t>
    <rPh sb="6" eb="9">
      <t>ケイリブ</t>
    </rPh>
    <rPh sb="10" eb="12">
      <t>トウロク</t>
    </rPh>
    <phoneticPr fontId="2"/>
  </si>
  <si>
    <t>何も表示されない</t>
    <rPh sb="0" eb="1">
      <t>ナニ</t>
    </rPh>
    <rPh sb="2" eb="4">
      <t>ヒョウジ</t>
    </rPh>
    <phoneticPr fontId="2"/>
  </si>
  <si>
    <t>test4は総務部以外で登録されている
在庫数が下限を下回っている</t>
    <rPh sb="6" eb="8">
      <t>ソウム</t>
    </rPh>
    <rPh sb="8" eb="9">
      <t>ブ</t>
    </rPh>
    <rPh sb="9" eb="11">
      <t>イガイ</t>
    </rPh>
    <rPh sb="12" eb="14">
      <t>トウロク</t>
    </rPh>
    <phoneticPr fontId="2"/>
  </si>
  <si>
    <t>test4を営業部で登録する</t>
    <rPh sb="6" eb="8">
      <t>エイギョウ</t>
    </rPh>
    <rPh sb="8" eb="9">
      <t>ブ</t>
    </rPh>
    <rPh sb="10" eb="12">
      <t>トウロク</t>
    </rPh>
    <phoneticPr fontId="2"/>
  </si>
  <si>
    <t>test5は総務部以外で登録されている
在庫数が下限を下回っている</t>
    <rPh sb="6" eb="8">
      <t>ソウム</t>
    </rPh>
    <rPh sb="8" eb="9">
      <t>ブ</t>
    </rPh>
    <rPh sb="9" eb="11">
      <t>イガイ</t>
    </rPh>
    <rPh sb="12" eb="14">
      <t>トウロク</t>
    </rPh>
    <phoneticPr fontId="2"/>
  </si>
  <si>
    <t>test5を開発部で登録する</t>
    <rPh sb="6" eb="8">
      <t>カイハツ</t>
    </rPh>
    <rPh sb="8" eb="9">
      <t>ブ</t>
    </rPh>
    <rPh sb="10" eb="12">
      <t>トウロク</t>
    </rPh>
    <phoneticPr fontId="2"/>
  </si>
  <si>
    <t>タスク管理機能</t>
    <rPh sb="3" eb="7">
      <t>カンリキノウ</t>
    </rPh>
    <phoneticPr fontId="2"/>
  </si>
  <si>
    <t>タスク一覧画面</t>
    <rPh sb="3" eb="7">
      <t>イチランガメン</t>
    </rPh>
    <phoneticPr fontId="2"/>
  </si>
  <si>
    <t>ボタン：新しいタスクを作成</t>
    <rPh sb="4" eb="5">
      <t>アタラ</t>
    </rPh>
    <rPh sb="11" eb="13">
      <t>サクセイ</t>
    </rPh>
    <phoneticPr fontId="2"/>
  </si>
  <si>
    <t>タスク新規作成ページに遷移できる</t>
    <rPh sb="3" eb="5">
      <t>シンキ</t>
    </rPh>
    <rPh sb="5" eb="7">
      <t>サクセイ</t>
    </rPh>
    <rPh sb="11" eb="13">
      <t>センイ</t>
    </rPh>
    <phoneticPr fontId="2"/>
  </si>
  <si>
    <t>新しいタスクを作成をクリック</t>
    <rPh sb="0" eb="1">
      <t>アタラ</t>
    </rPh>
    <rPh sb="7" eb="9">
      <t>サクセイ</t>
    </rPh>
    <phoneticPr fontId="2"/>
  </si>
  <si>
    <t>タスク新規作成ページに遷移する</t>
    <rPh sb="3" eb="7">
      <t>シンキサクセイ</t>
    </rPh>
    <rPh sb="11" eb="13">
      <t>センイ</t>
    </rPh>
    <phoneticPr fontId="2"/>
  </si>
  <si>
    <t>ボタン：トップへ</t>
    <phoneticPr fontId="2"/>
  </si>
  <si>
    <t>トップページに遷移できる</t>
    <rPh sb="7" eb="9">
      <t>センイ</t>
    </rPh>
    <phoneticPr fontId="2"/>
  </si>
  <si>
    <t>トップへをクリック</t>
    <phoneticPr fontId="2"/>
  </si>
  <si>
    <t>トップページに遷移する</t>
    <rPh sb="7" eb="9">
      <t>センイ</t>
    </rPh>
    <phoneticPr fontId="2"/>
  </si>
  <si>
    <t>表示：タスク未登録メッセージ</t>
    <rPh sb="0" eb="2">
      <t>ヒョウジ</t>
    </rPh>
    <rPh sb="6" eb="9">
      <t>ミトウロク</t>
    </rPh>
    <phoneticPr fontId="2"/>
  </si>
  <si>
    <t>タスクが登録されているか否かでメッセージ表示／非表示が変わる</t>
    <rPh sb="4" eb="6">
      <t>トウロク</t>
    </rPh>
    <rPh sb="12" eb="13">
      <t>イナ</t>
    </rPh>
    <rPh sb="20" eb="22">
      <t>ヒョウジ</t>
    </rPh>
    <rPh sb="23" eb="26">
      <t>ヒヒョウジ</t>
    </rPh>
    <rPh sb="27" eb="28">
      <t>カ</t>
    </rPh>
    <phoneticPr fontId="2"/>
  </si>
  <si>
    <t>タスクが登録されていない</t>
    <rPh sb="4" eb="6">
      <t>トウロク</t>
    </rPh>
    <phoneticPr fontId="2"/>
  </si>
  <si>
    <t>「タスクは登録されていません。」と表示される</t>
    <rPh sb="17" eb="19">
      <t>ヒョウジ</t>
    </rPh>
    <phoneticPr fontId="2"/>
  </si>
  <si>
    <t>表示：タスク未登録メッセージ、タスク</t>
    <rPh sb="0" eb="2">
      <t>ヒョウジ</t>
    </rPh>
    <rPh sb="6" eb="9">
      <t>ミトウロク</t>
    </rPh>
    <phoneticPr fontId="2"/>
  </si>
  <si>
    <t>タスクが登録されているか否かでメッセージ表示／非表示が変わる
登録されたタスクが表示される</t>
    <rPh sb="4" eb="6">
      <t>トウロク</t>
    </rPh>
    <rPh sb="12" eb="13">
      <t>イナ</t>
    </rPh>
    <rPh sb="20" eb="22">
      <t>ヒョウジ</t>
    </rPh>
    <rPh sb="23" eb="26">
      <t>ヒヒョウジ</t>
    </rPh>
    <rPh sb="27" eb="28">
      <t>カ</t>
    </rPh>
    <phoneticPr fontId="2"/>
  </si>
  <si>
    <t>タスクが登録されている</t>
    <rPh sb="4" eb="6">
      <t>トウロク</t>
    </rPh>
    <phoneticPr fontId="2"/>
  </si>
  <si>
    <t>新規タスクを登録する</t>
    <rPh sb="0" eb="2">
      <t>シンキ</t>
    </rPh>
    <rPh sb="6" eb="8">
      <t>トウロク</t>
    </rPh>
    <phoneticPr fontId="2"/>
  </si>
  <si>
    <t>「タスクは登録されていません。」と表示されない、1つのタスクが表示される</t>
    <rPh sb="17" eb="19">
      <t>ヒョウジ</t>
    </rPh>
    <rPh sb="31" eb="33">
      <t>ヒョウジ</t>
    </rPh>
    <phoneticPr fontId="2"/>
  </si>
  <si>
    <t>表示：タスク</t>
    <rPh sb="0" eb="2">
      <t>ヒョウジ</t>
    </rPh>
    <phoneticPr fontId="2"/>
  </si>
  <si>
    <t>タスクが終了日によりソートされる</t>
    <rPh sb="4" eb="7">
      <t>シュウリョウビ</t>
    </rPh>
    <phoneticPr fontId="2"/>
  </si>
  <si>
    <t>未着手に終了日の異なるタスクが複数ある</t>
    <rPh sb="0" eb="3">
      <t>ミチャクシュ</t>
    </rPh>
    <rPh sb="4" eb="7">
      <t>シュウリョウビ</t>
    </rPh>
    <rPh sb="8" eb="9">
      <t>コト</t>
    </rPh>
    <rPh sb="15" eb="17">
      <t>フクスウ</t>
    </rPh>
    <phoneticPr fontId="2"/>
  </si>
  <si>
    <t>未着手に終了日の異なるタスクを作成する</t>
    <rPh sb="0" eb="3">
      <t>ミチャクシュ</t>
    </rPh>
    <rPh sb="4" eb="7">
      <t>シュウリョウビ</t>
    </rPh>
    <rPh sb="8" eb="9">
      <t>コト</t>
    </rPh>
    <phoneticPr fontId="2"/>
  </si>
  <si>
    <t>未着手＝終了日の昇順</t>
    <rPh sb="0" eb="3">
      <t>ミチャクシュ</t>
    </rPh>
    <rPh sb="4" eb="7">
      <t>シュウリョウビ</t>
    </rPh>
    <rPh sb="8" eb="10">
      <t>ショウジュン</t>
    </rPh>
    <phoneticPr fontId="2"/>
  </si>
  <si>
    <t>未着手に終了日が同じで開始日が異なるタスクが複数ある</t>
    <rPh sb="0" eb="3">
      <t>ミチャクシュ</t>
    </rPh>
    <rPh sb="4" eb="7">
      <t>シュウリョウビ</t>
    </rPh>
    <rPh sb="8" eb="9">
      <t>オナ</t>
    </rPh>
    <rPh sb="11" eb="14">
      <t>カイシビ</t>
    </rPh>
    <rPh sb="15" eb="16">
      <t>コト</t>
    </rPh>
    <rPh sb="22" eb="24">
      <t>フクスウ</t>
    </rPh>
    <phoneticPr fontId="2"/>
  </si>
  <si>
    <t>未着手に終了日が同じで開始日が異なるタスクを作成する</t>
    <rPh sb="0" eb="3">
      <t>ミチャクシュ</t>
    </rPh>
    <rPh sb="4" eb="7">
      <t>シュウリョウビ</t>
    </rPh>
    <rPh sb="8" eb="9">
      <t>オナ</t>
    </rPh>
    <rPh sb="11" eb="14">
      <t>カイシビ</t>
    </rPh>
    <rPh sb="15" eb="16">
      <t>コト</t>
    </rPh>
    <phoneticPr fontId="2"/>
  </si>
  <si>
    <t>未着手＝終了日が同一のとき、開始日の昇順</t>
    <rPh sb="4" eb="7">
      <t>シュウリョウビ</t>
    </rPh>
    <rPh sb="8" eb="10">
      <t>ドウイツ</t>
    </rPh>
    <rPh sb="14" eb="17">
      <t>カイシビ</t>
    </rPh>
    <rPh sb="18" eb="20">
      <t>ショウジュン</t>
    </rPh>
    <phoneticPr fontId="2"/>
  </si>
  <si>
    <t>進行中に終了日の異なるタスクが複数ある</t>
    <rPh sb="4" eb="7">
      <t>シュウリョウビ</t>
    </rPh>
    <rPh sb="8" eb="9">
      <t>コト</t>
    </rPh>
    <rPh sb="15" eb="17">
      <t>フクスウ</t>
    </rPh>
    <phoneticPr fontId="2"/>
  </si>
  <si>
    <t>進行中に終了日の異なるタスクを作成する</t>
    <rPh sb="4" eb="7">
      <t>シュウリョウビ</t>
    </rPh>
    <rPh sb="8" eb="9">
      <t>コト</t>
    </rPh>
    <phoneticPr fontId="2"/>
  </si>
  <si>
    <t>進行中＝終了日の昇順</t>
    <rPh sb="0" eb="3">
      <t>シンコウチュウ</t>
    </rPh>
    <rPh sb="4" eb="7">
      <t>シュウリョウビ</t>
    </rPh>
    <rPh sb="8" eb="10">
      <t>ショウジュン</t>
    </rPh>
    <phoneticPr fontId="2"/>
  </si>
  <si>
    <t>進行中に終了日が同じで開始日が異なるタスクが複数ある</t>
    <rPh sb="4" eb="7">
      <t>シュウリョウビ</t>
    </rPh>
    <rPh sb="8" eb="9">
      <t>オナ</t>
    </rPh>
    <rPh sb="11" eb="14">
      <t>カイシビ</t>
    </rPh>
    <rPh sb="15" eb="16">
      <t>コト</t>
    </rPh>
    <rPh sb="22" eb="24">
      <t>フクスウ</t>
    </rPh>
    <phoneticPr fontId="2"/>
  </si>
  <si>
    <t>進行中に終了日が同じで開始日が異なるタスクを作成する</t>
    <rPh sb="4" eb="7">
      <t>シュウリョウビ</t>
    </rPh>
    <rPh sb="8" eb="9">
      <t>オナ</t>
    </rPh>
    <rPh sb="11" eb="14">
      <t>カイシビ</t>
    </rPh>
    <rPh sb="15" eb="16">
      <t>コト</t>
    </rPh>
    <phoneticPr fontId="2"/>
  </si>
  <si>
    <t>進行中＝終了日が同一のとき、開始日の昇順</t>
    <rPh sb="0" eb="3">
      <t>シンコウチュウ</t>
    </rPh>
    <rPh sb="4" eb="7">
      <t>シュウリョウビ</t>
    </rPh>
    <rPh sb="8" eb="10">
      <t>ドウイツ</t>
    </rPh>
    <rPh sb="14" eb="17">
      <t>カイシビ</t>
    </rPh>
    <rPh sb="18" eb="20">
      <t>ショウジュン</t>
    </rPh>
    <phoneticPr fontId="2"/>
  </si>
  <si>
    <t>完了＝終了日の降順</t>
    <rPh sb="3" eb="6">
      <t>シュウリョウビ</t>
    </rPh>
    <rPh sb="7" eb="9">
      <t>コウジュン</t>
    </rPh>
    <phoneticPr fontId="2"/>
  </si>
  <si>
    <t>完了＝終了日が同一のとき、開始日の降順</t>
    <rPh sb="0" eb="2">
      <t>カンリョウ</t>
    </rPh>
    <rPh sb="3" eb="6">
      <t>シュウリョウビ</t>
    </rPh>
    <rPh sb="7" eb="9">
      <t>ドウイツ</t>
    </rPh>
    <rPh sb="13" eb="16">
      <t>カイシビ</t>
    </rPh>
    <rPh sb="17" eb="19">
      <t>コウジュン</t>
    </rPh>
    <phoneticPr fontId="2"/>
  </si>
  <si>
    <t>条件によりタスクの枠線の色が変わる</t>
    <rPh sb="0" eb="2">
      <t>ジョウケン</t>
    </rPh>
    <rPh sb="9" eb="11">
      <t>ワクセン</t>
    </rPh>
    <rPh sb="12" eb="13">
      <t>イロ</t>
    </rPh>
    <rPh sb="14" eb="15">
      <t>カ</t>
    </rPh>
    <phoneticPr fontId="2"/>
  </si>
  <si>
    <t>「グループ1」にユーザ名「test1」「test2」が登録されている</t>
    <rPh sb="27" eb="29">
      <t>トウロク</t>
    </rPh>
    <phoneticPr fontId="2"/>
  </si>
  <si>
    <t>グループ1を設定したタスクをtest2が作成し、test1でログインする</t>
    <rPh sb="6" eb="8">
      <t>セッテイ</t>
    </rPh>
    <rPh sb="20" eb="22">
      <t>サクセイ</t>
    </rPh>
    <phoneticPr fontId="2"/>
  </si>
  <si>
    <t>タスクが完了状態</t>
    <rPh sb="4" eb="8">
      <t>カンリョウジョウタイ</t>
    </rPh>
    <phoneticPr fontId="2"/>
  </si>
  <si>
    <t>進行中タスクの完了ボタンを押す</t>
    <rPh sb="0" eb="3">
      <t>シンコウチュウ</t>
    </rPh>
    <rPh sb="7" eb="9">
      <t>カンリョウ</t>
    </rPh>
    <rPh sb="13" eb="14">
      <t>オ</t>
    </rPh>
    <phoneticPr fontId="2"/>
  </si>
  <si>
    <t>新規タスク作成で、完了を選択して登録する</t>
    <rPh sb="0" eb="2">
      <t>シンキ</t>
    </rPh>
    <rPh sb="5" eb="7">
      <t>サクセイ</t>
    </rPh>
    <rPh sb="9" eb="11">
      <t>カンリョウ</t>
    </rPh>
    <rPh sb="12" eb="14">
      <t>センタク</t>
    </rPh>
    <rPh sb="16" eb="18">
      <t>トウロク</t>
    </rPh>
    <phoneticPr fontId="2"/>
  </si>
  <si>
    <t>タスクが進行中状態で、期限を過ぎている</t>
    <rPh sb="4" eb="7">
      <t>シンコウチュウ</t>
    </rPh>
    <rPh sb="7" eb="9">
      <t>ジョウタイ</t>
    </rPh>
    <rPh sb="11" eb="13">
      <t>キゲン</t>
    </rPh>
    <rPh sb="14" eb="15">
      <t>ス</t>
    </rPh>
    <phoneticPr fontId="2"/>
  </si>
  <si>
    <t>期限を前日で登録し、未着手タスクの始めるボタンを押す</t>
    <rPh sb="0" eb="2">
      <t>キゲン</t>
    </rPh>
    <rPh sb="3" eb="5">
      <t>ゼンジツ</t>
    </rPh>
    <rPh sb="6" eb="8">
      <t>トウロク</t>
    </rPh>
    <rPh sb="10" eb="13">
      <t>ミチャクシュ</t>
    </rPh>
    <rPh sb="17" eb="18">
      <t>ハジ</t>
    </rPh>
    <rPh sb="24" eb="25">
      <t>オ</t>
    </rPh>
    <phoneticPr fontId="2"/>
  </si>
  <si>
    <t>新規タスク作成で、期限を前日で登録し、進行中を選択して登録する</t>
    <rPh sb="0" eb="2">
      <t>シンキ</t>
    </rPh>
    <rPh sb="5" eb="7">
      <t>サクセイ</t>
    </rPh>
    <rPh sb="19" eb="22">
      <t>シンコウチュウ</t>
    </rPh>
    <rPh sb="23" eb="25">
      <t>センタク</t>
    </rPh>
    <rPh sb="27" eb="29">
      <t>トウロク</t>
    </rPh>
    <phoneticPr fontId="2"/>
  </si>
  <si>
    <t>タスクが進行中状態で、期限日</t>
    <rPh sb="4" eb="7">
      <t>シンコウチュウ</t>
    </rPh>
    <rPh sb="7" eb="9">
      <t>ジョウタイ</t>
    </rPh>
    <rPh sb="11" eb="13">
      <t>キゲン</t>
    </rPh>
    <rPh sb="13" eb="14">
      <t>ビ</t>
    </rPh>
    <phoneticPr fontId="2"/>
  </si>
  <si>
    <t>期限を当日で登録し、未着手タスクの始めるボタンを押す</t>
    <rPh sb="0" eb="2">
      <t>キゲン</t>
    </rPh>
    <rPh sb="3" eb="5">
      <t>トウジツ</t>
    </rPh>
    <rPh sb="6" eb="8">
      <t>トウロク</t>
    </rPh>
    <rPh sb="10" eb="13">
      <t>ミチャクシュ</t>
    </rPh>
    <rPh sb="17" eb="18">
      <t>ハジ</t>
    </rPh>
    <rPh sb="24" eb="25">
      <t>オ</t>
    </rPh>
    <phoneticPr fontId="2"/>
  </si>
  <si>
    <t>新規タスク作成で、期限を当日で登録し、進行中を選択して登録する</t>
    <rPh sb="0" eb="2">
      <t>シンキ</t>
    </rPh>
    <rPh sb="5" eb="7">
      <t>サクセイ</t>
    </rPh>
    <rPh sb="12" eb="14">
      <t>トウジツ</t>
    </rPh>
    <rPh sb="19" eb="22">
      <t>シンコウチュウ</t>
    </rPh>
    <rPh sb="23" eb="25">
      <t>センタク</t>
    </rPh>
    <rPh sb="27" eb="29">
      <t>トウロク</t>
    </rPh>
    <phoneticPr fontId="2"/>
  </si>
  <si>
    <t>タスクが進行中状態で、期限3日前</t>
    <rPh sb="4" eb="7">
      <t>シンコウチュウ</t>
    </rPh>
    <rPh sb="7" eb="9">
      <t>ジョウタイ</t>
    </rPh>
    <rPh sb="11" eb="13">
      <t>キゲン</t>
    </rPh>
    <rPh sb="14" eb="16">
      <t>ニチマエ</t>
    </rPh>
    <phoneticPr fontId="2"/>
  </si>
  <si>
    <t>期限を3日後で登録し、未着手タスクの始めるボタンを押す</t>
    <rPh sb="0" eb="2">
      <t>キゲン</t>
    </rPh>
    <rPh sb="4" eb="6">
      <t>ニチゴ</t>
    </rPh>
    <rPh sb="7" eb="9">
      <t>トウロク</t>
    </rPh>
    <rPh sb="11" eb="14">
      <t>ミチャクシュ</t>
    </rPh>
    <rPh sb="18" eb="19">
      <t>ハジ</t>
    </rPh>
    <rPh sb="25" eb="26">
      <t>オ</t>
    </rPh>
    <phoneticPr fontId="2"/>
  </si>
  <si>
    <t>新規タスク作成で、期限を3日後で登録し、進行中を選択して登録する</t>
    <rPh sb="0" eb="2">
      <t>シンキ</t>
    </rPh>
    <rPh sb="5" eb="7">
      <t>サクセイ</t>
    </rPh>
    <rPh sb="13" eb="15">
      <t>ニチゴ</t>
    </rPh>
    <rPh sb="20" eb="23">
      <t>シンコウチュウ</t>
    </rPh>
    <rPh sb="24" eb="26">
      <t>センタク</t>
    </rPh>
    <rPh sb="28" eb="30">
      <t>トウロク</t>
    </rPh>
    <phoneticPr fontId="2"/>
  </si>
  <si>
    <t>タスクが進行中状態で、期限まで4日以上ある</t>
    <rPh sb="4" eb="7">
      <t>シンコウチュウ</t>
    </rPh>
    <rPh sb="7" eb="9">
      <t>ジョウタイ</t>
    </rPh>
    <rPh sb="11" eb="13">
      <t>キゲン</t>
    </rPh>
    <rPh sb="16" eb="19">
      <t>ニチイジョウ</t>
    </rPh>
    <phoneticPr fontId="2"/>
  </si>
  <si>
    <t>期限を1週間後で登録し、未着手タスクの始めるボタンを押す</t>
    <rPh sb="0" eb="2">
      <t>キゲン</t>
    </rPh>
    <rPh sb="4" eb="7">
      <t>シュウカンゴ</t>
    </rPh>
    <rPh sb="8" eb="10">
      <t>トウロク</t>
    </rPh>
    <rPh sb="12" eb="15">
      <t>ミチャクシュ</t>
    </rPh>
    <rPh sb="19" eb="20">
      <t>ハジ</t>
    </rPh>
    <rPh sb="26" eb="27">
      <t>オ</t>
    </rPh>
    <phoneticPr fontId="2"/>
  </si>
  <si>
    <t>新規タスク作成で、期限を一週間後で登録し、進行中を選択して登録する</t>
    <rPh sb="0" eb="2">
      <t>シンキ</t>
    </rPh>
    <rPh sb="5" eb="7">
      <t>サクセイ</t>
    </rPh>
    <rPh sb="12" eb="16">
      <t>イッシュウカンゴ</t>
    </rPh>
    <rPh sb="21" eb="24">
      <t>シンコウチュウ</t>
    </rPh>
    <rPh sb="25" eb="27">
      <t>センタク</t>
    </rPh>
    <rPh sb="29" eb="31">
      <t>トウロク</t>
    </rPh>
    <phoneticPr fontId="2"/>
  </si>
  <si>
    <t>タスクが未着手状態で、開始日を過ぎている</t>
    <rPh sb="4" eb="7">
      <t>ミチャクシュ</t>
    </rPh>
    <rPh sb="7" eb="9">
      <t>ジョウタイ</t>
    </rPh>
    <rPh sb="11" eb="14">
      <t>カイシビ</t>
    </rPh>
    <rPh sb="15" eb="16">
      <t>ス</t>
    </rPh>
    <phoneticPr fontId="2"/>
  </si>
  <si>
    <t>開始日を前日で登録し、進行中タスクの戻るボタンを押す</t>
    <rPh sb="0" eb="3">
      <t>カイシビ</t>
    </rPh>
    <rPh sb="4" eb="6">
      <t>ゼンジツ</t>
    </rPh>
    <rPh sb="7" eb="9">
      <t>トウロク</t>
    </rPh>
    <rPh sb="11" eb="14">
      <t>シンコウチュウ</t>
    </rPh>
    <rPh sb="18" eb="19">
      <t>モド</t>
    </rPh>
    <rPh sb="24" eb="25">
      <t>オ</t>
    </rPh>
    <phoneticPr fontId="2"/>
  </si>
  <si>
    <t>新規タスク作成で、開始日を前日で登録し、未着手を選択して登録する</t>
    <rPh sb="0" eb="2">
      <t>シンキ</t>
    </rPh>
    <rPh sb="5" eb="7">
      <t>サクセイ</t>
    </rPh>
    <rPh sb="9" eb="12">
      <t>カイシビ</t>
    </rPh>
    <rPh sb="20" eb="23">
      <t>ミチャクシュ</t>
    </rPh>
    <rPh sb="24" eb="26">
      <t>センタク</t>
    </rPh>
    <rPh sb="28" eb="30">
      <t>トウロク</t>
    </rPh>
    <phoneticPr fontId="2"/>
  </si>
  <si>
    <t>タスクが未着手状態で、開始日を過ぎていない</t>
    <rPh sb="4" eb="7">
      <t>ミチャクシュ</t>
    </rPh>
    <rPh sb="7" eb="9">
      <t>ジョウタイ</t>
    </rPh>
    <rPh sb="11" eb="14">
      <t>カイシビ</t>
    </rPh>
    <rPh sb="15" eb="16">
      <t>ス</t>
    </rPh>
    <phoneticPr fontId="2"/>
  </si>
  <si>
    <t>開始日を翌日で登録し、進行中タスクの戻るボタンを押す</t>
    <rPh sb="0" eb="3">
      <t>カイシビ</t>
    </rPh>
    <rPh sb="4" eb="6">
      <t>ヨクジツ</t>
    </rPh>
    <rPh sb="7" eb="9">
      <t>トウロク</t>
    </rPh>
    <rPh sb="11" eb="14">
      <t>シンコウチュウ</t>
    </rPh>
    <rPh sb="18" eb="19">
      <t>モド</t>
    </rPh>
    <rPh sb="24" eb="25">
      <t>オ</t>
    </rPh>
    <phoneticPr fontId="2"/>
  </si>
  <si>
    <t>その他の未着手＝黒</t>
    <rPh sb="2" eb="3">
      <t>ホカ</t>
    </rPh>
    <rPh sb="4" eb="7">
      <t>ミチャクシュ</t>
    </rPh>
    <phoneticPr fontId="2"/>
  </si>
  <si>
    <t>新規タスク作成で、開始日を翌日で登録し、未着手を選択して登録する</t>
    <rPh sb="0" eb="2">
      <t>シンキ</t>
    </rPh>
    <rPh sb="5" eb="7">
      <t>サクセイ</t>
    </rPh>
    <rPh sb="9" eb="12">
      <t>カイシビ</t>
    </rPh>
    <rPh sb="13" eb="15">
      <t>ヨクジツ</t>
    </rPh>
    <rPh sb="20" eb="23">
      <t>ミチャクシュ</t>
    </rPh>
    <rPh sb="24" eb="26">
      <t>センタク</t>
    </rPh>
    <rPh sb="28" eb="30">
      <t>トウロク</t>
    </rPh>
    <phoneticPr fontId="2"/>
  </si>
  <si>
    <t>表示：タスクボタン</t>
    <rPh sb="0" eb="2">
      <t>ヒョウジ</t>
    </rPh>
    <phoneticPr fontId="2"/>
  </si>
  <si>
    <t>タスクに正しくボタンが表示される</t>
    <rPh sb="4" eb="5">
      <t>タダ</t>
    </rPh>
    <rPh sb="11" eb="13">
      <t>ヒョウジ</t>
    </rPh>
    <phoneticPr fontId="2"/>
  </si>
  <si>
    <t>ログインユーザ本人が作成したタスク</t>
    <rPh sb="7" eb="9">
      <t>ホンニン</t>
    </rPh>
    <rPh sb="10" eb="12">
      <t>サクセイ</t>
    </rPh>
    <phoneticPr fontId="2"/>
  </si>
  <si>
    <t>タスクにはステータス、編集、削除、詳細ボタンが表示される</t>
    <rPh sb="11" eb="13">
      <t>ヘンシュウ</t>
    </rPh>
    <rPh sb="14" eb="16">
      <t>サクジョ</t>
    </rPh>
    <rPh sb="17" eb="19">
      <t>ショウサイ</t>
    </rPh>
    <rPh sb="23" eb="25">
      <t>ヒョウジ</t>
    </rPh>
    <phoneticPr fontId="2"/>
  </si>
  <si>
    <t>他のユーザが作成したタスク
「グループ1」にユーザ名「test1」「test2」が登録されている</t>
    <rPh sb="0" eb="1">
      <t>ホカ</t>
    </rPh>
    <rPh sb="6" eb="8">
      <t>サクセイ</t>
    </rPh>
    <rPh sb="41" eb="43">
      <t>トウロク</t>
    </rPh>
    <phoneticPr fontId="2"/>
  </si>
  <si>
    <t>タスクには詳細ボタンのみ表示される</t>
    <rPh sb="5" eb="7">
      <t>ショウサイ</t>
    </rPh>
    <rPh sb="12" eb="14">
      <t>ヒョウジ</t>
    </rPh>
    <phoneticPr fontId="2"/>
  </si>
  <si>
    <t>ボタン：始める</t>
    <rPh sb="4" eb="5">
      <t>ハジ</t>
    </rPh>
    <phoneticPr fontId="2"/>
  </si>
  <si>
    <t>タスクのボタンが正しく動作する</t>
    <rPh sb="8" eb="9">
      <t>タダ</t>
    </rPh>
    <rPh sb="11" eb="13">
      <t>ドウサ</t>
    </rPh>
    <phoneticPr fontId="2"/>
  </si>
  <si>
    <t>未完了タスクの始めるボタンをクリック</t>
    <rPh sb="0" eb="3">
      <t>ミカンリョウ</t>
    </rPh>
    <rPh sb="7" eb="8">
      <t>ハジ</t>
    </rPh>
    <phoneticPr fontId="2"/>
  </si>
  <si>
    <t>タスクが未完了から進行中に移動する</t>
    <rPh sb="4" eb="7">
      <t>ミカンリョウ</t>
    </rPh>
    <rPh sb="9" eb="12">
      <t>シンコウチュウ</t>
    </rPh>
    <rPh sb="13" eb="15">
      <t>イドウ</t>
    </rPh>
    <phoneticPr fontId="2"/>
  </si>
  <si>
    <t>ボタン：戻す(進行中)</t>
    <rPh sb="4" eb="5">
      <t>モド</t>
    </rPh>
    <rPh sb="7" eb="10">
      <t>シンコウチュウ</t>
    </rPh>
    <phoneticPr fontId="2"/>
  </si>
  <si>
    <t>進行中タスクの戻すボタンをクリック</t>
    <rPh sb="0" eb="3">
      <t>シンコウチュウ</t>
    </rPh>
    <rPh sb="7" eb="8">
      <t>モド</t>
    </rPh>
    <phoneticPr fontId="2"/>
  </si>
  <si>
    <t>タスクが進行中から未完了に移動する</t>
    <rPh sb="4" eb="7">
      <t>シンコウチュウ</t>
    </rPh>
    <rPh sb="9" eb="12">
      <t>ミカンリョウ</t>
    </rPh>
    <rPh sb="13" eb="15">
      <t>イドウ</t>
    </rPh>
    <phoneticPr fontId="2"/>
  </si>
  <si>
    <t>ボタン：完了</t>
    <rPh sb="4" eb="6">
      <t>カンリョウ</t>
    </rPh>
    <phoneticPr fontId="2"/>
  </si>
  <si>
    <t>進行中タスクの完了ボタンをクリック</t>
    <rPh sb="0" eb="3">
      <t>シンコウチュウ</t>
    </rPh>
    <rPh sb="7" eb="9">
      <t>カンリョウ</t>
    </rPh>
    <phoneticPr fontId="2"/>
  </si>
  <si>
    <t>タスクが進行中から完了に移動する</t>
    <rPh sb="4" eb="7">
      <t>シンコウチュウ</t>
    </rPh>
    <rPh sb="9" eb="11">
      <t>カンリョウ</t>
    </rPh>
    <rPh sb="12" eb="14">
      <t>イドウ</t>
    </rPh>
    <phoneticPr fontId="2"/>
  </si>
  <si>
    <t>ボタン：戻す(完了)</t>
    <rPh sb="4" eb="5">
      <t>モド</t>
    </rPh>
    <rPh sb="7" eb="9">
      <t>カンリョウ</t>
    </rPh>
    <phoneticPr fontId="2"/>
  </si>
  <si>
    <t>完了タスクの戻すボタンをクリック</t>
    <rPh sb="0" eb="2">
      <t>カンリョウ</t>
    </rPh>
    <rPh sb="6" eb="7">
      <t>モド</t>
    </rPh>
    <phoneticPr fontId="2"/>
  </si>
  <si>
    <t>タスクが完了から進行中に移動する</t>
    <rPh sb="4" eb="6">
      <t>カンリョウ</t>
    </rPh>
    <rPh sb="8" eb="11">
      <t>シンコウチュウ</t>
    </rPh>
    <rPh sb="12" eb="14">
      <t>イドウ</t>
    </rPh>
    <phoneticPr fontId="2"/>
  </si>
  <si>
    <t>ボタン：編集</t>
    <rPh sb="4" eb="6">
      <t>ヘンシュウ</t>
    </rPh>
    <phoneticPr fontId="2"/>
  </si>
  <si>
    <t>タスクの編集ボタンをクリック</t>
    <rPh sb="4" eb="6">
      <t>ヘンシュウ</t>
    </rPh>
    <phoneticPr fontId="2"/>
  </si>
  <si>
    <t>タスク編集ページに遷移する</t>
    <rPh sb="3" eb="5">
      <t>ヘンシュウ</t>
    </rPh>
    <rPh sb="9" eb="11">
      <t>センイ</t>
    </rPh>
    <phoneticPr fontId="2"/>
  </si>
  <si>
    <t>ボタン：消去
表示：削除確認モーダル一覧</t>
    <rPh sb="4" eb="6">
      <t>ショウキョ</t>
    </rPh>
    <rPh sb="7" eb="9">
      <t>ヒョウジ</t>
    </rPh>
    <phoneticPr fontId="2"/>
  </si>
  <si>
    <t>タスクの削除ボタンをクリック</t>
    <rPh sb="4" eb="6">
      <t>サクジョ</t>
    </rPh>
    <phoneticPr fontId="2"/>
  </si>
  <si>
    <t>削除確認モーダルが表示される
タスク名とタスク内容の初めの10文字が正しく表示される</t>
    <rPh sb="0" eb="4">
      <t>サクジョカクニン</t>
    </rPh>
    <rPh sb="9" eb="11">
      <t>ヒョウジ</t>
    </rPh>
    <rPh sb="18" eb="19">
      <t>メイ</t>
    </rPh>
    <rPh sb="23" eb="25">
      <t>ナイヨウ</t>
    </rPh>
    <rPh sb="26" eb="27">
      <t>ハジ</t>
    </rPh>
    <rPh sb="31" eb="33">
      <t>モジ</t>
    </rPh>
    <rPh sb="34" eb="35">
      <t>タダ</t>
    </rPh>
    <rPh sb="37" eb="39">
      <t>ヒョウジ</t>
    </rPh>
    <phoneticPr fontId="2"/>
  </si>
  <si>
    <t>削除確認モーダル一覧画面</t>
    <rPh sb="8" eb="12">
      <t>イチランガメン</t>
    </rPh>
    <phoneticPr fontId="2"/>
  </si>
  <si>
    <t>ボタン：削除する</t>
    <rPh sb="4" eb="6">
      <t>サクジョ</t>
    </rPh>
    <phoneticPr fontId="2"/>
  </si>
  <si>
    <t>タスク削除モーダルウィンドウのボタンが正しく動作する</t>
    <rPh sb="19" eb="20">
      <t>タダ</t>
    </rPh>
    <rPh sb="22" eb="24">
      <t>ドウサ</t>
    </rPh>
    <phoneticPr fontId="2"/>
  </si>
  <si>
    <t>タスク削除モーダルウィンドウの削除ボタンをクリック</t>
    <rPh sb="3" eb="5">
      <t>サクジョ</t>
    </rPh>
    <rPh sb="15" eb="17">
      <t>サクジョ</t>
    </rPh>
    <phoneticPr fontId="2"/>
  </si>
  <si>
    <t>対象タスクを削除できる</t>
    <rPh sb="0" eb="2">
      <t>タイショウ</t>
    </rPh>
    <rPh sb="6" eb="8">
      <t>サクジョ</t>
    </rPh>
    <phoneticPr fontId="2"/>
  </si>
  <si>
    <t>ボタン：キャンセル</t>
    <phoneticPr fontId="2"/>
  </si>
  <si>
    <t>タスク削除モーダルウィンドウのキャンセルボタンをクリック</t>
    <rPh sb="3" eb="5">
      <t>サクジョ</t>
    </rPh>
    <phoneticPr fontId="2"/>
  </si>
  <si>
    <t>削除をキャンセルし、一覧表示に戻る</t>
    <rPh sb="0" eb="2">
      <t>サクジョ</t>
    </rPh>
    <rPh sb="10" eb="14">
      <t>イチランヒョウジ</t>
    </rPh>
    <rPh sb="15" eb="16">
      <t>モド</t>
    </rPh>
    <phoneticPr fontId="2"/>
  </si>
  <si>
    <t>ボタン：詳細</t>
    <rPh sb="4" eb="6">
      <t>ショウサイ</t>
    </rPh>
    <phoneticPr fontId="2"/>
  </si>
  <si>
    <t>タスクの詳細ボタンをクリック</t>
    <rPh sb="4" eb="6">
      <t>ショウサイ</t>
    </rPh>
    <phoneticPr fontId="2"/>
  </si>
  <si>
    <t>詳細表示モーダルが表示される</t>
    <rPh sb="0" eb="4">
      <t>ショウサイヒョウジ</t>
    </rPh>
    <rPh sb="9" eb="11">
      <t>ヒョウジ</t>
    </rPh>
    <phoneticPr fontId="2"/>
  </si>
  <si>
    <t>詳細表示モーダル画面</t>
    <rPh sb="0" eb="2">
      <t>ショウサイ</t>
    </rPh>
    <rPh sb="2" eb="4">
      <t>ヒョウジ</t>
    </rPh>
    <rPh sb="8" eb="10">
      <t>ガメン</t>
    </rPh>
    <phoneticPr fontId="2"/>
  </si>
  <si>
    <t>表示：詳細表示モーダル</t>
    <rPh sb="0" eb="2">
      <t>ヒョウジ</t>
    </rPh>
    <rPh sb="3" eb="5">
      <t>ショウサイ</t>
    </rPh>
    <rPh sb="5" eb="7">
      <t>ヒョウジ</t>
    </rPh>
    <phoneticPr fontId="2"/>
  </si>
  <si>
    <t>タスクの内容が正しく表示される</t>
    <rPh sb="4" eb="6">
      <t>ナイヨウ</t>
    </rPh>
    <rPh sb="7" eb="8">
      <t>タダ</t>
    </rPh>
    <rPh sb="10" eb="12">
      <t>ヒョウジ</t>
    </rPh>
    <phoneticPr fontId="2"/>
  </si>
  <si>
    <t>タスク内容が空の時「(未入力」と表示される</t>
    <rPh sb="3" eb="5">
      <t>ナイヨウ</t>
    </rPh>
    <rPh sb="6" eb="7">
      <t>カラ</t>
    </rPh>
    <rPh sb="8" eb="9">
      <t>トキ</t>
    </rPh>
    <rPh sb="11" eb="14">
      <t>ミニュウリョク</t>
    </rPh>
    <rPh sb="16" eb="18">
      <t>ヒョウジ</t>
    </rPh>
    <phoneticPr fontId="2"/>
  </si>
  <si>
    <t>まだ更新されていない時作成日の横に「(未更新)」と表示される</t>
    <rPh sb="2" eb="4">
      <t>コウシン</t>
    </rPh>
    <rPh sb="10" eb="11">
      <t>トキ</t>
    </rPh>
    <rPh sb="11" eb="14">
      <t>サクセイビ</t>
    </rPh>
    <rPh sb="15" eb="16">
      <t>ヨコ</t>
    </rPh>
    <rPh sb="19" eb="22">
      <t>ミコウシン</t>
    </rPh>
    <rPh sb="25" eb="27">
      <t>ヒョウジ</t>
    </rPh>
    <phoneticPr fontId="2"/>
  </si>
  <si>
    <t>コメントが空の時「コメントはありません。」と表示される</t>
    <rPh sb="5" eb="6">
      <t>カラ</t>
    </rPh>
    <rPh sb="7" eb="8">
      <t>トキ</t>
    </rPh>
    <rPh sb="22" eb="24">
      <t>ヒョウジ</t>
    </rPh>
    <phoneticPr fontId="2"/>
  </si>
  <si>
    <t>ボタン：閉じる</t>
    <rPh sb="4" eb="5">
      <t>ト</t>
    </rPh>
    <phoneticPr fontId="2"/>
  </si>
  <si>
    <t>詳細モーダルのボタンが正しく動作する</t>
    <rPh sb="0" eb="2">
      <t>ショウサイ</t>
    </rPh>
    <rPh sb="11" eb="12">
      <t>タダ</t>
    </rPh>
    <rPh sb="14" eb="16">
      <t>ドウサ</t>
    </rPh>
    <phoneticPr fontId="2"/>
  </si>
  <si>
    <t>詳細モーダルが閉じ、タスク一覧に戻る</t>
    <rPh sb="0" eb="2">
      <t>ショウサイ</t>
    </rPh>
    <rPh sb="7" eb="8">
      <t>ト</t>
    </rPh>
    <rPh sb="13" eb="15">
      <t>イチラン</t>
    </rPh>
    <rPh sb="16" eb="17">
      <t>モド</t>
    </rPh>
    <phoneticPr fontId="2"/>
  </si>
  <si>
    <t>ボタン：コメント追加</t>
    <rPh sb="8" eb="10">
      <t>ツイカ</t>
    </rPh>
    <phoneticPr fontId="2"/>
  </si>
  <si>
    <t>コメントの追加フィールドに文字が入力されている</t>
    <rPh sb="5" eb="7">
      <t>ツイカ</t>
    </rPh>
    <rPh sb="13" eb="15">
      <t>モジ</t>
    </rPh>
    <rPh sb="16" eb="18">
      <t>ニュウリョク</t>
    </rPh>
    <phoneticPr fontId="2"/>
  </si>
  <si>
    <t>コメントの追加フィールドに文字(20文字)を入力</t>
    <rPh sb="5" eb="7">
      <t>ツイカ</t>
    </rPh>
    <rPh sb="13" eb="15">
      <t>モジ</t>
    </rPh>
    <rPh sb="18" eb="20">
      <t>モジ</t>
    </rPh>
    <rPh sb="22" eb="24">
      <t>ニュウリョク</t>
    </rPh>
    <phoneticPr fontId="2"/>
  </si>
  <si>
    <t>入力項目：コメント</t>
    <rPh sb="0" eb="4">
      <t>ニュウリョクコウモク</t>
    </rPh>
    <phoneticPr fontId="2"/>
  </si>
  <si>
    <t>指定文字数以上を入力を制限する</t>
    <rPh sb="0" eb="7">
      <t>シテイモジスウイジョウ</t>
    </rPh>
    <rPh sb="8" eb="10">
      <t>ニュウリョク</t>
    </rPh>
    <rPh sb="11" eb="13">
      <t>セイゲン</t>
    </rPh>
    <phoneticPr fontId="2"/>
  </si>
  <si>
    <t>201文字入力する</t>
    <rPh sb="3" eb="5">
      <t>モジ</t>
    </rPh>
    <rPh sb="5" eb="7">
      <t>ニュウリョク</t>
    </rPh>
    <phoneticPr fontId="2"/>
  </si>
  <si>
    <t>200文字までしか入力できない</t>
    <rPh sb="3" eb="5">
      <t>モジ</t>
    </rPh>
    <rPh sb="9" eb="11">
      <t>ニュウリョク</t>
    </rPh>
    <phoneticPr fontId="2"/>
  </si>
  <si>
    <t>コメントの追加フィールドに文字が入力されていない</t>
    <rPh sb="5" eb="7">
      <t>ツイカ</t>
    </rPh>
    <rPh sb="13" eb="15">
      <t>モジ</t>
    </rPh>
    <rPh sb="16" eb="18">
      <t>ニュウリョク</t>
    </rPh>
    <phoneticPr fontId="2"/>
  </si>
  <si>
    <t>コメント追加フィールドに何も入力しない</t>
    <rPh sb="4" eb="6">
      <t>ツイカ</t>
    </rPh>
    <rPh sb="12" eb="13">
      <t>ナニ</t>
    </rPh>
    <rPh sb="14" eb="16">
      <t>ニュウリョク</t>
    </rPh>
    <phoneticPr fontId="2"/>
  </si>
  <si>
    <t>コメント追加ボタンがアクティブにならない</t>
    <rPh sb="4" eb="6">
      <t>ツイカ</t>
    </rPh>
    <phoneticPr fontId="2"/>
  </si>
  <si>
    <t>コメントの追加フィールドにスペースあるいは改行が入力されている</t>
    <rPh sb="5" eb="7">
      <t>ツイカ</t>
    </rPh>
    <rPh sb="21" eb="23">
      <t>カイギョウ</t>
    </rPh>
    <rPh sb="24" eb="26">
      <t>ニュウリョク</t>
    </rPh>
    <phoneticPr fontId="2"/>
  </si>
  <si>
    <t>コメント追加フィールドにスペースを入力</t>
    <rPh sb="4" eb="6">
      <t>ツイカ</t>
    </rPh>
    <rPh sb="17" eb="19">
      <t>ニュウリョク</t>
    </rPh>
    <phoneticPr fontId="2"/>
  </si>
  <si>
    <t>コメント追加フィールドに改行を入力</t>
    <rPh sb="4" eb="6">
      <t>ツイカ</t>
    </rPh>
    <rPh sb="12" eb="14">
      <t>カイギョウ</t>
    </rPh>
    <rPh sb="15" eb="17">
      <t>ニュウリョク</t>
    </rPh>
    <phoneticPr fontId="2"/>
  </si>
  <si>
    <t>追加確認モーダル画面</t>
    <rPh sb="0" eb="2">
      <t>ツイカ</t>
    </rPh>
    <rPh sb="2" eb="4">
      <t>カクニン</t>
    </rPh>
    <rPh sb="8" eb="10">
      <t>ガメン</t>
    </rPh>
    <phoneticPr fontId="2"/>
  </si>
  <si>
    <t>表示：追加確認モーダル</t>
    <rPh sb="0" eb="2">
      <t>ヒョウジ</t>
    </rPh>
    <rPh sb="3" eb="7">
      <t>ツイカカクニン</t>
    </rPh>
    <phoneticPr fontId="2"/>
  </si>
  <si>
    <t>コメント追加確認モーダルが正しく表示される</t>
    <rPh sb="4" eb="8">
      <t>ツイカカクニン</t>
    </rPh>
    <rPh sb="13" eb="14">
      <t>タダ</t>
    </rPh>
    <rPh sb="16" eb="18">
      <t>ヒョウジ</t>
    </rPh>
    <phoneticPr fontId="2"/>
  </si>
  <si>
    <t>コメントの追加フィールドに文字(20文字)を入力し、コメント追加ボタンをクリック</t>
    <rPh sb="5" eb="7">
      <t>ツイカ</t>
    </rPh>
    <rPh sb="13" eb="15">
      <t>モジ</t>
    </rPh>
    <rPh sb="18" eb="20">
      <t>モジ</t>
    </rPh>
    <rPh sb="22" eb="24">
      <t>ニュウリョク</t>
    </rPh>
    <rPh sb="30" eb="32">
      <t>ツイカ</t>
    </rPh>
    <phoneticPr fontId="2"/>
  </si>
  <si>
    <t>詳細画面を表示したまま、コメント追加モーダルが表示される</t>
    <rPh sb="0" eb="4">
      <t>ショウサイガメン</t>
    </rPh>
    <rPh sb="5" eb="7">
      <t>ヒョウジ</t>
    </rPh>
    <rPh sb="16" eb="18">
      <t>ツイカ</t>
    </rPh>
    <rPh sb="23" eb="25">
      <t>ヒョウジ</t>
    </rPh>
    <phoneticPr fontId="2"/>
  </si>
  <si>
    <t>ボタン：追加する</t>
    <rPh sb="4" eb="6">
      <t>ツイカ</t>
    </rPh>
    <phoneticPr fontId="2"/>
  </si>
  <si>
    <t>コメント追加確認モーダルのボタンが正しく動作する</t>
    <rPh sb="4" eb="8">
      <t>ツイカカクニン</t>
    </rPh>
    <rPh sb="17" eb="18">
      <t>タダ</t>
    </rPh>
    <rPh sb="20" eb="22">
      <t>ドウサ</t>
    </rPh>
    <phoneticPr fontId="2"/>
  </si>
  <si>
    <t>1件に対するコメントの長さが2600文字に達しない</t>
    <rPh sb="1" eb="2">
      <t>ケン</t>
    </rPh>
    <rPh sb="3" eb="4">
      <t>タイ</t>
    </rPh>
    <rPh sb="11" eb="12">
      <t>ナガ</t>
    </rPh>
    <rPh sb="18" eb="20">
      <t>モジ</t>
    </rPh>
    <rPh sb="21" eb="22">
      <t>タッ</t>
    </rPh>
    <phoneticPr fontId="2"/>
  </si>
  <si>
    <t>追加するボタンをクリック</t>
    <rPh sb="0" eb="2">
      <t>ツイカ</t>
    </rPh>
    <phoneticPr fontId="2"/>
  </si>
  <si>
    <t>タスク一覧上部に「コメントを追加しました。」と表示され、入力したコメントおよび入力者と入力日時が登録される</t>
    <rPh sb="3" eb="5">
      <t>イチラン</t>
    </rPh>
    <rPh sb="5" eb="7">
      <t>ジョウブ</t>
    </rPh>
    <rPh sb="23" eb="25">
      <t>ヒョウジ</t>
    </rPh>
    <rPh sb="48" eb="50">
      <t>トウロク</t>
    </rPh>
    <phoneticPr fontId="2"/>
  </si>
  <si>
    <t>既に200文字のコメントを11件登録されている</t>
    <rPh sb="0" eb="1">
      <t>スデ</t>
    </rPh>
    <rPh sb="5" eb="7">
      <t>モジ</t>
    </rPh>
    <rPh sb="15" eb="16">
      <t>ケン</t>
    </rPh>
    <rPh sb="16" eb="18">
      <t>トウロク</t>
    </rPh>
    <phoneticPr fontId="2"/>
  </si>
  <si>
    <t>200文字入力する
追加するボタンをクリック</t>
    <rPh sb="3" eb="5">
      <t>モジ</t>
    </rPh>
    <rPh sb="5" eb="7">
      <t>ニュウリョク</t>
    </rPh>
    <rPh sb="10" eb="12">
      <t>ツイカ</t>
    </rPh>
    <phoneticPr fontId="2"/>
  </si>
  <si>
    <t>タスク一覧上部に「これ以上コメントを追加できません。」と表示され、コメント追加できない</t>
    <rPh sb="3" eb="5">
      <t>イチラン</t>
    </rPh>
    <rPh sb="5" eb="7">
      <t>ジョウブ</t>
    </rPh>
    <rPh sb="28" eb="30">
      <t>ヒョウジ</t>
    </rPh>
    <rPh sb="37" eb="39">
      <t>ツイカ</t>
    </rPh>
    <phoneticPr fontId="2"/>
  </si>
  <si>
    <t>ボタン：キャンセルする</t>
    <phoneticPr fontId="2"/>
  </si>
  <si>
    <t>キャンセルボタンをクリック</t>
    <phoneticPr fontId="2"/>
  </si>
  <si>
    <t>コメントを登録せずに、詳細画面に戻る</t>
    <rPh sb="5" eb="7">
      <t>トウロク</t>
    </rPh>
    <rPh sb="11" eb="15">
      <t>ショウサイガメン</t>
    </rPh>
    <rPh sb="16" eb="17">
      <t>モド</t>
    </rPh>
    <phoneticPr fontId="2"/>
  </si>
  <si>
    <t>ボタン：コメント削除</t>
    <rPh sb="8" eb="10">
      <t>サクジョ</t>
    </rPh>
    <phoneticPr fontId="2"/>
  </si>
  <si>
    <t>コメントが登録されている</t>
    <rPh sb="5" eb="7">
      <t>トウロク</t>
    </rPh>
    <phoneticPr fontId="2"/>
  </si>
  <si>
    <t>コメント削除ボタンがアクティブになる</t>
    <rPh sb="4" eb="6">
      <t>サクジョ</t>
    </rPh>
    <phoneticPr fontId="2"/>
  </si>
  <si>
    <t>コメントが登録されていない</t>
    <rPh sb="5" eb="7">
      <t>トウロク</t>
    </rPh>
    <phoneticPr fontId="2"/>
  </si>
  <si>
    <t>コメント削除ボタンがアクティブにならない</t>
    <rPh sb="4" eb="6">
      <t>サクジョ</t>
    </rPh>
    <phoneticPr fontId="2"/>
  </si>
  <si>
    <t>コメント削除確認モーダル画面</t>
    <rPh sb="4" eb="6">
      <t>サクジョ</t>
    </rPh>
    <rPh sb="6" eb="8">
      <t>カクニン</t>
    </rPh>
    <rPh sb="12" eb="14">
      <t>ガメン</t>
    </rPh>
    <phoneticPr fontId="2"/>
  </si>
  <si>
    <t>表示：削除確認モーダル</t>
    <rPh sb="0" eb="2">
      <t>ヒョウジ</t>
    </rPh>
    <rPh sb="3" eb="7">
      <t>サクジョカクニン</t>
    </rPh>
    <phoneticPr fontId="2"/>
  </si>
  <si>
    <t>コメント削除確認モーダルが正しく表示される</t>
    <rPh sb="4" eb="6">
      <t>サクジョ</t>
    </rPh>
    <rPh sb="6" eb="8">
      <t>カクニン</t>
    </rPh>
    <rPh sb="13" eb="14">
      <t>タダ</t>
    </rPh>
    <rPh sb="16" eb="18">
      <t>ヒョウジ</t>
    </rPh>
    <phoneticPr fontId="2"/>
  </si>
  <si>
    <t>コメント削除ボタンをクリック</t>
    <rPh sb="4" eb="6">
      <t>サクジョ</t>
    </rPh>
    <phoneticPr fontId="2"/>
  </si>
  <si>
    <t>詳細画面を表示したまま、コメント削除確認モーダルが表示される</t>
    <rPh sb="0" eb="4">
      <t>ショウサイガメン</t>
    </rPh>
    <rPh sb="5" eb="7">
      <t>ヒョウジ</t>
    </rPh>
    <rPh sb="16" eb="18">
      <t>サクジョ</t>
    </rPh>
    <rPh sb="18" eb="20">
      <t>カクニン</t>
    </rPh>
    <rPh sb="25" eb="27">
      <t>ヒョウジ</t>
    </rPh>
    <phoneticPr fontId="2"/>
  </si>
  <si>
    <t>コメント削除確認モーダルのボタンが正しく動作する</t>
    <rPh sb="17" eb="18">
      <t>タダ</t>
    </rPh>
    <rPh sb="20" eb="22">
      <t>ドウサ</t>
    </rPh>
    <phoneticPr fontId="2"/>
  </si>
  <si>
    <t>削除するボタンをクリック</t>
    <rPh sb="0" eb="2">
      <t>サクジョ</t>
    </rPh>
    <phoneticPr fontId="2"/>
  </si>
  <si>
    <t>タスク一覧上部に「コメントを削除しました」と表示され、コメントが削除される</t>
    <rPh sb="3" eb="5">
      <t>イチラン</t>
    </rPh>
    <rPh sb="5" eb="7">
      <t>ジョウブ</t>
    </rPh>
    <rPh sb="14" eb="16">
      <t>サクジョ</t>
    </rPh>
    <rPh sb="22" eb="24">
      <t>ヒョウジ</t>
    </rPh>
    <rPh sb="32" eb="34">
      <t>サクジョ</t>
    </rPh>
    <phoneticPr fontId="2"/>
  </si>
  <si>
    <t>コメントを削除せずに、詳細画面に戻る</t>
    <rPh sb="5" eb="7">
      <t>サクジョ</t>
    </rPh>
    <rPh sb="11" eb="15">
      <t>ショウサイガメン</t>
    </rPh>
    <rPh sb="16" eb="17">
      <t>モド</t>
    </rPh>
    <phoneticPr fontId="2"/>
  </si>
  <si>
    <t>タスク新規作成画面</t>
    <rPh sb="3" eb="5">
      <t>シンキ</t>
    </rPh>
    <rPh sb="5" eb="7">
      <t>サクセイ</t>
    </rPh>
    <rPh sb="7" eb="9">
      <t>ガメン</t>
    </rPh>
    <phoneticPr fontId="2"/>
  </si>
  <si>
    <t>ボタン：一覧へ戻る</t>
    <rPh sb="4" eb="6">
      <t>イチラン</t>
    </rPh>
    <rPh sb="7" eb="8">
      <t>モド</t>
    </rPh>
    <phoneticPr fontId="2"/>
  </si>
  <si>
    <t>一覧へ戻るをクリック</t>
    <rPh sb="0" eb="2">
      <t>イチラン</t>
    </rPh>
    <rPh sb="3" eb="4">
      <t>モド</t>
    </rPh>
    <phoneticPr fontId="2"/>
  </si>
  <si>
    <t>入力項目：タスク名</t>
    <rPh sb="0" eb="4">
      <t>ニュウリョクコウモク</t>
    </rPh>
    <rPh sb="8" eb="9">
      <t>メイ</t>
    </rPh>
    <phoneticPr fontId="2"/>
  </si>
  <si>
    <t>正しいタスク名を入力すると、タスク登録できる</t>
    <rPh sb="6" eb="7">
      <t>メイ</t>
    </rPh>
    <rPh sb="8" eb="10">
      <t>ニュウリョク</t>
    </rPh>
    <rPh sb="17" eb="19">
      <t>トウロク</t>
    </rPh>
    <phoneticPr fontId="2"/>
  </si>
  <si>
    <t>タスク名は1～40文字で入力</t>
    <rPh sb="3" eb="4">
      <t>メイ</t>
    </rPh>
    <rPh sb="9" eb="11">
      <t>モジ</t>
    </rPh>
    <rPh sb="12" eb="14">
      <t>ニュウリョク</t>
    </rPh>
    <phoneticPr fontId="2"/>
  </si>
  <si>
    <t>正しいタスク名「タスクテスト」を入力し送信
(その他入力はデフォルト)</t>
    <rPh sb="16" eb="18">
      <t>ニュウリョク</t>
    </rPh>
    <rPh sb="25" eb="26">
      <t>タ</t>
    </rPh>
    <rPh sb="26" eb="28">
      <t>ニュウリョク</t>
    </rPh>
    <phoneticPr fontId="2"/>
  </si>
  <si>
    <t>タスク一覧上部に「タスクを新規登録しました」と表示され、タスクが登録される</t>
    <rPh sb="3" eb="5">
      <t>イチラン</t>
    </rPh>
    <rPh sb="5" eb="7">
      <t>ジョウブ</t>
    </rPh>
    <rPh sb="23" eb="25">
      <t>ヒョウジ</t>
    </rPh>
    <rPh sb="32" eb="34">
      <t>トウロク</t>
    </rPh>
    <phoneticPr fontId="2"/>
  </si>
  <si>
    <t>正しくないタスク名を入力すると、タスク登録できない</t>
    <rPh sb="8" eb="9">
      <t>メイ</t>
    </rPh>
    <rPh sb="10" eb="12">
      <t>ニュウリョク</t>
    </rPh>
    <rPh sb="19" eb="21">
      <t>トウロク</t>
    </rPh>
    <phoneticPr fontId="2"/>
  </si>
  <si>
    <t>タスク名を入力しない</t>
    <rPh sb="3" eb="4">
      <t>メイ</t>
    </rPh>
    <rPh sb="5" eb="7">
      <t>ニュウリョク</t>
    </rPh>
    <phoneticPr fontId="2"/>
  </si>
  <si>
    <t>タスク名を空欄のまま送信
(その他入力はデフォルト)</t>
    <rPh sb="5" eb="7">
      <t>クウラン</t>
    </rPh>
    <rPh sb="16" eb="17">
      <t>タ</t>
    </rPh>
    <rPh sb="17" eb="19">
      <t>ニュウリョク</t>
    </rPh>
    <phoneticPr fontId="2"/>
  </si>
  <si>
    <t>フォーム下に「タスク名は必須入力です」と表示され、タスクが登録できない</t>
    <rPh sb="4" eb="5">
      <t>シタ</t>
    </rPh>
    <rPh sb="20" eb="22">
      <t>ヒョウジ</t>
    </rPh>
    <rPh sb="29" eb="31">
      <t>トウロク</t>
    </rPh>
    <phoneticPr fontId="2"/>
  </si>
  <si>
    <t>タスク名に41文字以上で入力</t>
    <rPh sb="3" eb="4">
      <t>メイ</t>
    </rPh>
    <rPh sb="7" eb="9">
      <t>モジ</t>
    </rPh>
    <rPh sb="9" eb="11">
      <t>イジョウ</t>
    </rPh>
    <rPh sb="12" eb="14">
      <t>ニュウリョク</t>
    </rPh>
    <phoneticPr fontId="2"/>
  </si>
  <si>
    <t>41文字入力する</t>
    <rPh sb="2" eb="4">
      <t>モジ</t>
    </rPh>
    <rPh sb="4" eb="6">
      <t>ニュウリョク</t>
    </rPh>
    <phoneticPr fontId="2"/>
  </si>
  <si>
    <t>40文字までしか入力できない</t>
    <rPh sb="2" eb="4">
      <t>モジ</t>
    </rPh>
    <rPh sb="8" eb="10">
      <t>ニュウリョク</t>
    </rPh>
    <phoneticPr fontId="2"/>
  </si>
  <si>
    <t>入力項目：タスク内容</t>
    <rPh sb="0" eb="4">
      <t>ニュウリョクコウモク</t>
    </rPh>
    <rPh sb="8" eb="10">
      <t>ナイヨウ</t>
    </rPh>
    <phoneticPr fontId="2"/>
  </si>
  <si>
    <t>正しいタスク内容を入力すると、タスク登録できる</t>
    <rPh sb="6" eb="8">
      <t>ナイヨウ</t>
    </rPh>
    <rPh sb="9" eb="11">
      <t>ニュウリョク</t>
    </rPh>
    <rPh sb="18" eb="20">
      <t>トウロク</t>
    </rPh>
    <phoneticPr fontId="2"/>
  </si>
  <si>
    <t>タスク内容は0～240文字で入力</t>
    <rPh sb="3" eb="5">
      <t>ナイヨウ</t>
    </rPh>
    <rPh sb="11" eb="13">
      <t>モジ</t>
    </rPh>
    <rPh sb="14" eb="16">
      <t>ニュウリョク</t>
    </rPh>
    <phoneticPr fontId="2"/>
  </si>
  <si>
    <t>タスク名「内容テスト」、タスク内容空欄で送信
(その他入力はデフォルト)</t>
    <rPh sb="5" eb="7">
      <t>ナイヨウ</t>
    </rPh>
    <rPh sb="15" eb="17">
      <t>ナイヨウ</t>
    </rPh>
    <rPh sb="17" eb="19">
      <t>クウラン</t>
    </rPh>
    <rPh sb="26" eb="27">
      <t>タ</t>
    </rPh>
    <rPh sb="27" eb="29">
      <t>ニュウリョク</t>
    </rPh>
    <phoneticPr fontId="2"/>
  </si>
  <si>
    <t>タスク名「内容テスト」、タスク内容「タスク内容」を入力し送信
(その他入力はデフォルト)</t>
    <rPh sb="5" eb="7">
      <t>ナイヨウ</t>
    </rPh>
    <rPh sb="15" eb="17">
      <t>ナイヨウ</t>
    </rPh>
    <rPh sb="21" eb="23">
      <t>ナイヨウ</t>
    </rPh>
    <rPh sb="25" eb="27">
      <t>ニュウリョク</t>
    </rPh>
    <rPh sb="34" eb="35">
      <t>タ</t>
    </rPh>
    <rPh sb="35" eb="37">
      <t>ニュウリョク</t>
    </rPh>
    <phoneticPr fontId="2"/>
  </si>
  <si>
    <t>正しくないタスク内容を入力すると、タスク登録できない</t>
    <rPh sb="8" eb="10">
      <t>ナイヨウ</t>
    </rPh>
    <rPh sb="11" eb="13">
      <t>ニュウリョク</t>
    </rPh>
    <rPh sb="20" eb="22">
      <t>トウロク</t>
    </rPh>
    <phoneticPr fontId="2"/>
  </si>
  <si>
    <t>タスク内容に241文字以上で入力</t>
    <rPh sb="3" eb="5">
      <t>ナイヨウ</t>
    </rPh>
    <rPh sb="9" eb="11">
      <t>モジ</t>
    </rPh>
    <rPh sb="11" eb="13">
      <t>イジョウ</t>
    </rPh>
    <rPh sb="14" eb="16">
      <t>ニュウリョク</t>
    </rPh>
    <phoneticPr fontId="2"/>
  </si>
  <si>
    <t>241文字入力する</t>
    <rPh sb="3" eb="7">
      <t>モジニュウリョク</t>
    </rPh>
    <phoneticPr fontId="2"/>
  </si>
  <si>
    <t>240文字までしか入力できない</t>
    <rPh sb="3" eb="5">
      <t>モジ</t>
    </rPh>
    <rPh sb="9" eb="11">
      <t>ニュウリョク</t>
    </rPh>
    <phoneticPr fontId="2"/>
  </si>
  <si>
    <t>入力項目：開始日</t>
    <rPh sb="0" eb="4">
      <t>ニュウリョクコウモク</t>
    </rPh>
    <rPh sb="5" eb="8">
      <t>カイシビ</t>
    </rPh>
    <phoneticPr fontId="2"/>
  </si>
  <si>
    <t>デフォルトでログイン日が表示される</t>
    <rPh sb="10" eb="11">
      <t>ビ</t>
    </rPh>
    <rPh sb="12" eb="14">
      <t>ヒョウジ</t>
    </rPh>
    <phoneticPr fontId="2"/>
  </si>
  <si>
    <t>タスク一覧表示から遷移</t>
    <rPh sb="3" eb="7">
      <t>イチランヒョウジ</t>
    </rPh>
    <rPh sb="9" eb="11">
      <t>センイ</t>
    </rPh>
    <phoneticPr fontId="2"/>
  </si>
  <si>
    <t>正しい日付を入力すると、タスク登録できる</t>
    <rPh sb="0" eb="1">
      <t>タダ</t>
    </rPh>
    <rPh sb="3" eb="5">
      <t>ヒヅケ</t>
    </rPh>
    <rPh sb="6" eb="8">
      <t>ニュウリョク</t>
    </rPh>
    <rPh sb="15" eb="17">
      <t>トウロク</t>
    </rPh>
    <phoneticPr fontId="2"/>
  </si>
  <si>
    <t>正しいタスク名を入力
今日の日付で送信</t>
    <rPh sb="0" eb="1">
      <t>タダ</t>
    </rPh>
    <rPh sb="6" eb="7">
      <t>メイ</t>
    </rPh>
    <rPh sb="8" eb="10">
      <t>ニュウリョク</t>
    </rPh>
    <rPh sb="11" eb="13">
      <t>キョウ</t>
    </rPh>
    <rPh sb="14" eb="16">
      <t>ヒヅケ</t>
    </rPh>
    <rPh sb="17" eb="19">
      <t>ソウシン</t>
    </rPh>
    <phoneticPr fontId="2"/>
  </si>
  <si>
    <t>正しくない日付を入力すると、タスク登録できない</t>
    <rPh sb="0" eb="1">
      <t>タダ</t>
    </rPh>
    <rPh sb="5" eb="7">
      <t>ヒヅケ</t>
    </rPh>
    <rPh sb="8" eb="10">
      <t>ニュウリョク</t>
    </rPh>
    <rPh sb="17" eb="19">
      <t>トウロク</t>
    </rPh>
    <phoneticPr fontId="2"/>
  </si>
  <si>
    <t>火付けが未入力</t>
    <rPh sb="0" eb="2">
      <t>ヒツ</t>
    </rPh>
    <rPh sb="4" eb="7">
      <t>ミニュウリョク</t>
    </rPh>
    <phoneticPr fontId="2"/>
  </si>
  <si>
    <t>正しいタスク名を入力
クリアの状態で送信</t>
    <rPh sb="15" eb="17">
      <t>ジョウタイ</t>
    </rPh>
    <rPh sb="18" eb="20">
      <t>ソウシン</t>
    </rPh>
    <phoneticPr fontId="2"/>
  </si>
  <si>
    <t>入力項目：締切日</t>
    <rPh sb="0" eb="4">
      <t>ニュウリョクコウモク</t>
    </rPh>
    <rPh sb="5" eb="8">
      <t>シメキリビ</t>
    </rPh>
    <phoneticPr fontId="2"/>
  </si>
  <si>
    <t>開始日より後の日付を入力</t>
    <rPh sb="0" eb="3">
      <t>カイシビ</t>
    </rPh>
    <rPh sb="5" eb="6">
      <t>アト</t>
    </rPh>
    <rPh sb="7" eb="9">
      <t>ヒヅケ</t>
    </rPh>
    <rPh sb="10" eb="12">
      <t>ニュウリョク</t>
    </rPh>
    <phoneticPr fontId="2"/>
  </si>
  <si>
    <t>フォーム下に「開始日を指定してください」と表示され、タスクが登録できない</t>
  </si>
  <si>
    <t>締切日を開始日より前の日付に設定する</t>
    <rPh sb="0" eb="3">
      <t>シメキリビ</t>
    </rPh>
    <rPh sb="4" eb="7">
      <t>カイシビ</t>
    </rPh>
    <rPh sb="9" eb="10">
      <t>マエ</t>
    </rPh>
    <rPh sb="11" eb="13">
      <t>ヒヅケ</t>
    </rPh>
    <rPh sb="14" eb="16">
      <t>セッテイ</t>
    </rPh>
    <phoneticPr fontId="2"/>
  </si>
  <si>
    <t>正しいタスク名を入力
開始日を今日、締切日を今日－１日に設定して送信</t>
    <rPh sb="11" eb="14">
      <t>カイシビ</t>
    </rPh>
    <rPh sb="15" eb="17">
      <t>キョウ</t>
    </rPh>
    <rPh sb="18" eb="21">
      <t>シメキリビ</t>
    </rPh>
    <rPh sb="22" eb="24">
      <t>キョウ</t>
    </rPh>
    <rPh sb="26" eb="27">
      <t>ニチ</t>
    </rPh>
    <rPh sb="28" eb="30">
      <t>セッテイ</t>
    </rPh>
    <rPh sb="32" eb="34">
      <t>ソウシン</t>
    </rPh>
    <phoneticPr fontId="2"/>
  </si>
  <si>
    <t>選択項目：グループ</t>
    <rPh sb="0" eb="2">
      <t>センタク</t>
    </rPh>
    <rPh sb="2" eb="4">
      <t>コウモク</t>
    </rPh>
    <phoneticPr fontId="2"/>
  </si>
  <si>
    <t>デフォルトでプライベートが表示される</t>
    <rPh sb="13" eb="15">
      <t>ヒョウジ</t>
    </rPh>
    <phoneticPr fontId="2"/>
  </si>
  <si>
    <t>登録したグループ名、メンバーが表示される</t>
    <rPh sb="0" eb="2">
      <t>トウロク</t>
    </rPh>
    <rPh sb="8" eb="9">
      <t>メイ</t>
    </rPh>
    <rPh sb="15" eb="17">
      <t>ヒョウジ</t>
    </rPh>
    <phoneticPr fontId="2"/>
  </si>
  <si>
    <t>グループ名グループAに「test1」、「test2」を登録する</t>
    <rPh sb="4" eb="5">
      <t>メイ</t>
    </rPh>
    <rPh sb="27" eb="29">
      <t>トウロク</t>
    </rPh>
    <phoneticPr fontId="2"/>
  </si>
  <si>
    <t>グループのプルダウンを確認、グループAを選択する</t>
    <rPh sb="11" eb="13">
      <t>カクニン</t>
    </rPh>
    <rPh sb="20" eb="22">
      <t>センタク</t>
    </rPh>
    <phoneticPr fontId="2"/>
  </si>
  <si>
    <t>ボタン：グループ作成</t>
    <rPh sb="8" eb="10">
      <t>サクセイ</t>
    </rPh>
    <phoneticPr fontId="2"/>
  </si>
  <si>
    <t>プライベートのとき、グループ作成ボタンが表示される</t>
    <rPh sb="14" eb="16">
      <t>サクセイ</t>
    </rPh>
    <rPh sb="20" eb="22">
      <t>ヒョウジ</t>
    </rPh>
    <phoneticPr fontId="2"/>
  </si>
  <si>
    <t>プライベートを選択する</t>
    <rPh sb="7" eb="9">
      <t>センタク</t>
    </rPh>
    <phoneticPr fontId="2"/>
  </si>
  <si>
    <t>グループ作成ボタンが表示差sれる</t>
    <rPh sb="4" eb="6">
      <t>サクセイ</t>
    </rPh>
    <rPh sb="10" eb="13">
      <t>ヒョウジサ</t>
    </rPh>
    <phoneticPr fontId="2"/>
  </si>
  <si>
    <t>グループ作成モーダルが表示される</t>
    <rPh sb="4" eb="6">
      <t>サクセイ</t>
    </rPh>
    <rPh sb="11" eb="13">
      <t>ヒョウジ</t>
    </rPh>
    <phoneticPr fontId="2"/>
  </si>
  <si>
    <t>グループ作成をクリック</t>
    <rPh sb="4" eb="6">
      <t>サクセイ</t>
    </rPh>
    <phoneticPr fontId="2"/>
  </si>
  <si>
    <t>ボタン：グループ編集</t>
    <rPh sb="8" eb="10">
      <t>ヘンシュウ</t>
    </rPh>
    <phoneticPr fontId="2"/>
  </si>
  <si>
    <t>グループ選択時に、グループ編集ボタンに変わる</t>
    <rPh sb="4" eb="7">
      <t>センタクジ</t>
    </rPh>
    <rPh sb="13" eb="15">
      <t>ヘンシュウ</t>
    </rPh>
    <rPh sb="19" eb="20">
      <t>カ</t>
    </rPh>
    <phoneticPr fontId="2"/>
  </si>
  <si>
    <t>グループAを選択する</t>
    <rPh sb="6" eb="8">
      <t>センタク</t>
    </rPh>
    <phoneticPr fontId="2"/>
  </si>
  <si>
    <t>グループ編集ボタンが表示される</t>
    <rPh sb="4" eb="6">
      <t>ヘンシュウ</t>
    </rPh>
    <rPh sb="10" eb="12">
      <t>ヒョウジ</t>
    </rPh>
    <phoneticPr fontId="2"/>
  </si>
  <si>
    <t>グループ編集モーダルが表示される</t>
    <rPh sb="4" eb="6">
      <t>ヘンシュウ</t>
    </rPh>
    <rPh sb="11" eb="13">
      <t>ヒョウジ</t>
    </rPh>
    <phoneticPr fontId="2"/>
  </si>
  <si>
    <t>グループ編集をクリック</t>
    <rPh sb="4" eb="6">
      <t>ヘンシュウ</t>
    </rPh>
    <phoneticPr fontId="2"/>
  </si>
  <si>
    <t>グループ作成モーダル画面</t>
    <rPh sb="4" eb="6">
      <t>サクセイ</t>
    </rPh>
    <rPh sb="10" eb="12">
      <t>ガメン</t>
    </rPh>
    <phoneticPr fontId="2"/>
  </si>
  <si>
    <t>表示：グループ作成モーダル</t>
    <rPh sb="0" eb="2">
      <t>ヒョウジ</t>
    </rPh>
    <rPh sb="7" eb="9">
      <t>サクセイ</t>
    </rPh>
    <phoneticPr fontId="2"/>
  </si>
  <si>
    <t>グループ作成モーダルが正しく表示される</t>
    <rPh sb="4" eb="6">
      <t>サクセイ</t>
    </rPh>
    <rPh sb="11" eb="12">
      <t>タダ</t>
    </rPh>
    <rPh sb="14" eb="16">
      <t>ヒョウジ</t>
    </rPh>
    <phoneticPr fontId="2"/>
  </si>
  <si>
    <t>入力項目：グループ名</t>
    <rPh sb="0" eb="4">
      <t>ニュウリョクコウモク</t>
    </rPh>
    <rPh sb="9" eb="10">
      <t>メイ</t>
    </rPh>
    <phoneticPr fontId="2"/>
  </si>
  <si>
    <t>正しくないグループ名を入力すると、グループ作成できない</t>
    <rPh sb="0" eb="1">
      <t>タダ</t>
    </rPh>
    <rPh sb="9" eb="10">
      <t>メイ</t>
    </rPh>
    <rPh sb="11" eb="13">
      <t>ニュウリョク</t>
    </rPh>
    <rPh sb="21" eb="23">
      <t>サクセイ</t>
    </rPh>
    <phoneticPr fontId="2"/>
  </si>
  <si>
    <t>グループ名未入力</t>
    <rPh sb="4" eb="8">
      <t>メイミニュウリョク</t>
    </rPh>
    <phoneticPr fontId="2"/>
  </si>
  <si>
    <t>グループ名を入力せずに送信</t>
    <rPh sb="4" eb="5">
      <t>メイ</t>
    </rPh>
    <rPh sb="6" eb="8">
      <t>ニュウリョク</t>
    </rPh>
    <rPh sb="11" eb="13">
      <t>ソウシン</t>
    </rPh>
    <phoneticPr fontId="2"/>
  </si>
  <si>
    <t>「グループ名は必須です」と表示される</t>
    <rPh sb="5" eb="6">
      <t>メイ</t>
    </rPh>
    <rPh sb="7" eb="9">
      <t>ヒッス</t>
    </rPh>
    <rPh sb="13" eb="15">
      <t>ヒョウジ</t>
    </rPh>
    <phoneticPr fontId="2"/>
  </si>
  <si>
    <t>グループ名21文字以上</t>
    <rPh sb="4" eb="5">
      <t>メイ</t>
    </rPh>
    <rPh sb="7" eb="11">
      <t>モジイジョウ</t>
    </rPh>
    <phoneticPr fontId="2"/>
  </si>
  <si>
    <t>21文字入力する</t>
    <rPh sb="2" eb="6">
      <t>モジニュウリョク</t>
    </rPh>
    <phoneticPr fontId="2"/>
  </si>
  <si>
    <t>「グループ名は20文字以内です」と表示される</t>
    <rPh sb="17" eb="19">
      <t>ヒョウジ</t>
    </rPh>
    <phoneticPr fontId="2"/>
  </si>
  <si>
    <t>正しいグループ名を入力すると、グループ作成できる</t>
    <rPh sb="0" eb="1">
      <t>タダ</t>
    </rPh>
    <rPh sb="7" eb="8">
      <t>メイ</t>
    </rPh>
    <rPh sb="9" eb="11">
      <t>ニュウリョク</t>
    </rPh>
    <rPh sb="19" eb="21">
      <t>サクセイ</t>
    </rPh>
    <phoneticPr fontId="2"/>
  </si>
  <si>
    <t>グループ名1～20文字で入力</t>
    <rPh sb="4" eb="5">
      <t>メイ</t>
    </rPh>
    <phoneticPr fontId="2"/>
  </si>
  <si>
    <t>グループ名グループBを入力し、メンバーを選ばずに送信</t>
    <rPh sb="4" eb="5">
      <t>メイ</t>
    </rPh>
    <rPh sb="11" eb="13">
      <t>ニュウリョク</t>
    </rPh>
    <rPh sb="20" eb="21">
      <t>エラ</t>
    </rPh>
    <rPh sb="24" eb="26">
      <t>ソウシン</t>
    </rPh>
    <phoneticPr fontId="2"/>
  </si>
  <si>
    <t>グループメンバーtest1だけのtestグループBが登録される</t>
    <rPh sb="26" eb="28">
      <t>トウロク</t>
    </rPh>
    <phoneticPr fontId="2"/>
  </si>
  <si>
    <t>選択項目：メンバー</t>
    <rPh sb="0" eb="4">
      <t>センタクコウモク</t>
    </rPh>
    <phoneticPr fontId="2"/>
  </si>
  <si>
    <t>ユーザ登録されたユーザを選択できる</t>
    <rPh sb="12" eb="14">
      <t>センタク</t>
    </rPh>
    <phoneticPr fontId="2"/>
  </si>
  <si>
    <t>グループ名グループCを入力し、メンバーtest2を選択し送信</t>
    <rPh sb="4" eb="5">
      <t>メイ</t>
    </rPh>
    <rPh sb="11" eb="13">
      <t>ニュウリョク</t>
    </rPh>
    <rPh sb="25" eb="27">
      <t>センタク</t>
    </rPh>
    <rPh sb="28" eb="30">
      <t>ソウシン</t>
    </rPh>
    <phoneticPr fontId="2"/>
  </si>
  <si>
    <t>グループメンバーtest1, test2のグループCが登録される</t>
    <rPh sb="27" eb="29">
      <t>トウロク</t>
    </rPh>
    <phoneticPr fontId="2"/>
  </si>
  <si>
    <t>ユーザ登録されたユーザを複数選択できる</t>
    <rPh sb="12" eb="14">
      <t>フクスウ</t>
    </rPh>
    <rPh sb="14" eb="16">
      <t>センタク</t>
    </rPh>
    <phoneticPr fontId="2"/>
  </si>
  <si>
    <t>グループ名グループDを入力し、メンバーtest1,test2を選択し送信</t>
    <rPh sb="4" eb="5">
      <t>メイ</t>
    </rPh>
    <rPh sb="11" eb="13">
      <t>ニュウリョク</t>
    </rPh>
    <rPh sb="31" eb="33">
      <t>センタク</t>
    </rPh>
    <rPh sb="34" eb="36">
      <t>ソウシン</t>
    </rPh>
    <phoneticPr fontId="2"/>
  </si>
  <si>
    <t>グループメンバーtest1, test2のグループDが登録される</t>
    <rPh sb="27" eb="29">
      <t>トウロク</t>
    </rPh>
    <phoneticPr fontId="2"/>
  </si>
  <si>
    <t>表示：メンバー</t>
    <rPh sb="0" eb="2">
      <t>ヒョウジ</t>
    </rPh>
    <phoneticPr fontId="2"/>
  </si>
  <si>
    <t>ユーザ登録されたユーザ名が表示される</t>
    <rPh sb="11" eb="12">
      <t>メイ</t>
    </rPh>
    <rPh sb="13" eb="15">
      <t>ヒョウジ</t>
    </rPh>
    <phoneticPr fontId="2"/>
  </si>
  <si>
    <t>グループDを選択</t>
    <rPh sb="6" eb="8">
      <t>センタク</t>
    </rPh>
    <phoneticPr fontId="2"/>
  </si>
  <si>
    <t>登録されたユーザ名が表示される</t>
    <rPh sb="0" eb="2">
      <t>トウロク</t>
    </rPh>
    <rPh sb="8" eb="9">
      <t>メイ</t>
    </rPh>
    <rPh sb="10" eb="12">
      <t>ヒョウジ</t>
    </rPh>
    <phoneticPr fontId="2"/>
  </si>
  <si>
    <t>ボタン：戻る</t>
    <rPh sb="4" eb="5">
      <t>モド</t>
    </rPh>
    <phoneticPr fontId="2"/>
  </si>
  <si>
    <t>グループ作成モーダルのボタンが正しく動作する</t>
    <rPh sb="4" eb="6">
      <t>サクセイ</t>
    </rPh>
    <rPh sb="15" eb="16">
      <t>タダ</t>
    </rPh>
    <rPh sb="18" eb="20">
      <t>ドウサ</t>
    </rPh>
    <phoneticPr fontId="2"/>
  </si>
  <si>
    <t>戻るボタンをクリック</t>
    <rPh sb="0" eb="1">
      <t>モド</t>
    </rPh>
    <phoneticPr fontId="2"/>
  </si>
  <si>
    <t>グループを作成せずに、タスク新規作成画面に戻る</t>
    <rPh sb="5" eb="7">
      <t>サクセイ</t>
    </rPh>
    <rPh sb="14" eb="18">
      <t>シンキサクセイ</t>
    </rPh>
    <rPh sb="18" eb="20">
      <t>ガメン</t>
    </rPh>
    <rPh sb="21" eb="22">
      <t>モド</t>
    </rPh>
    <phoneticPr fontId="2"/>
  </si>
  <si>
    <t>グループ編集モーダル画面</t>
    <rPh sb="10" eb="12">
      <t>ガメン</t>
    </rPh>
    <phoneticPr fontId="2"/>
  </si>
  <si>
    <t>表示：グループ編集モーダル</t>
    <rPh sb="0" eb="2">
      <t>ヒョウジ</t>
    </rPh>
    <phoneticPr fontId="2"/>
  </si>
  <si>
    <t>グループ編集モーダルが正しく表示される</t>
    <rPh sb="11" eb="12">
      <t>タダ</t>
    </rPh>
    <rPh sb="14" eb="16">
      <t>ヒョウジ</t>
    </rPh>
    <phoneticPr fontId="2"/>
  </si>
  <si>
    <t>グループ編集モーダルが正しく表示される</t>
    <rPh sb="4" eb="6">
      <t>ヘンシュウ</t>
    </rPh>
    <rPh sb="11" eb="12">
      <t>タダ</t>
    </rPh>
    <rPh sb="14" eb="16">
      <t>ヒョウジ</t>
    </rPh>
    <phoneticPr fontId="2"/>
  </si>
  <si>
    <t>グループ登録されたユーザ名が表示される</t>
    <rPh sb="12" eb="13">
      <t>メイ</t>
    </rPh>
    <rPh sb="14" eb="16">
      <t>ヒョウジ</t>
    </rPh>
    <phoneticPr fontId="2"/>
  </si>
  <si>
    <t>グループCを選択し、編集モーダルを開く</t>
    <rPh sb="6" eb="8">
      <t>センタク</t>
    </rPh>
    <rPh sb="10" eb="12">
      <t>ヘンシュウ</t>
    </rPh>
    <rPh sb="17" eb="18">
      <t>ヒラ</t>
    </rPh>
    <phoneticPr fontId="2"/>
  </si>
  <si>
    <t>グループ名：グループC、メンバーtest1,test2が表示される</t>
    <rPh sb="4" eb="5">
      <t>メイ</t>
    </rPh>
    <rPh sb="28" eb="30">
      <t>ヒョウジ</t>
    </rPh>
    <phoneticPr fontId="2"/>
  </si>
  <si>
    <t>グループCを選択し、編集モーダルを開く
メンバーのスペースをクリック</t>
    <rPh sb="6" eb="8">
      <t>センタク</t>
    </rPh>
    <rPh sb="10" eb="12">
      <t>ヘンシュウ</t>
    </rPh>
    <rPh sb="17" eb="18">
      <t>ヒラ</t>
    </rPh>
    <phoneticPr fontId="2"/>
  </si>
  <si>
    <t>test3,test4をユーザ登録する
グループCを選択し、編集モーダルを開く
メンバーのスペースをクリック
test3,test4を選択し、送信</t>
    <rPh sb="15" eb="17">
      <t>トウロク</t>
    </rPh>
    <rPh sb="26" eb="28">
      <t>センタク</t>
    </rPh>
    <rPh sb="30" eb="32">
      <t>ヘンシュウ</t>
    </rPh>
    <rPh sb="37" eb="38">
      <t>ヒラ</t>
    </rPh>
    <rPh sb="67" eb="69">
      <t>センタク</t>
    </rPh>
    <rPh sb="71" eb="73">
      <t>ソウシン</t>
    </rPh>
    <phoneticPr fontId="2"/>
  </si>
  <si>
    <t>グループCのメンバーがtest1,test2,test3,test4に変更される</t>
    <rPh sb="35" eb="37">
      <t>ヘンコウ</t>
    </rPh>
    <phoneticPr fontId="2"/>
  </si>
  <si>
    <t>グループ登録されたユーザを削除できる</t>
    <rPh sb="4" eb="6">
      <t>トウロク</t>
    </rPh>
    <rPh sb="13" eb="15">
      <t>サクジョ</t>
    </rPh>
    <phoneticPr fontId="2"/>
  </si>
  <si>
    <t>グループCを選択し、編集モーダルを開く
メンバーtest4を削除</t>
    <rPh sb="6" eb="8">
      <t>センタク</t>
    </rPh>
    <rPh sb="10" eb="12">
      <t>ヘンシュウ</t>
    </rPh>
    <rPh sb="17" eb="18">
      <t>ヒラ</t>
    </rPh>
    <rPh sb="30" eb="32">
      <t>サクジョ</t>
    </rPh>
    <phoneticPr fontId="2"/>
  </si>
  <si>
    <t>グループCのメンバーがtest1,test2,test3に変更される</t>
    <rPh sb="29" eb="31">
      <t>ヘンコウ</t>
    </rPh>
    <phoneticPr fontId="2"/>
  </si>
  <si>
    <t>グループ編集モーダルのボタンが正しく動作する</t>
    <rPh sb="15" eb="16">
      <t>タダ</t>
    </rPh>
    <rPh sb="18" eb="20">
      <t>ドウサ</t>
    </rPh>
    <phoneticPr fontId="2"/>
  </si>
  <si>
    <t>グループを編集せずに、タスク新規編集画面に戻る</t>
    <rPh sb="18" eb="20">
      <t>ガメン</t>
    </rPh>
    <rPh sb="21" eb="22">
      <t>モド</t>
    </rPh>
    <phoneticPr fontId="2"/>
  </si>
  <si>
    <t>選択項目：ステータス</t>
    <rPh sb="0" eb="4">
      <t>センタクコウモク</t>
    </rPh>
    <phoneticPr fontId="2"/>
  </si>
  <si>
    <t>選択したステータスが正しく登録できる</t>
    <rPh sb="0" eb="2">
      <t>センタク</t>
    </rPh>
    <rPh sb="10" eb="11">
      <t>タダ</t>
    </rPh>
    <rPh sb="13" eb="15">
      <t>トウロク</t>
    </rPh>
    <phoneticPr fontId="2"/>
  </si>
  <si>
    <t>未着手が選択されている</t>
    <rPh sb="4" eb="6">
      <t>センタク</t>
    </rPh>
    <phoneticPr fontId="2"/>
  </si>
  <si>
    <t>未着手を選択して送信</t>
    <rPh sb="4" eb="6">
      <t>センタク</t>
    </rPh>
    <rPh sb="8" eb="10">
      <t>ソウシン</t>
    </rPh>
    <phoneticPr fontId="2"/>
  </si>
  <si>
    <t>タスク一覧の未着手に登録タスクが表示される</t>
    <rPh sb="3" eb="5">
      <t>イチラン</t>
    </rPh>
    <rPh sb="6" eb="9">
      <t>ミチャクシュ</t>
    </rPh>
    <rPh sb="10" eb="12">
      <t>トウロク</t>
    </rPh>
    <rPh sb="16" eb="18">
      <t>ヒョウジ</t>
    </rPh>
    <phoneticPr fontId="2"/>
  </si>
  <si>
    <t>進行中が選択されている</t>
    <rPh sb="4" eb="6">
      <t>センタク</t>
    </rPh>
    <phoneticPr fontId="2"/>
  </si>
  <si>
    <t>進行中を選択して送信</t>
    <rPh sb="4" eb="6">
      <t>センタク</t>
    </rPh>
    <rPh sb="8" eb="10">
      <t>ソウシン</t>
    </rPh>
    <phoneticPr fontId="2"/>
  </si>
  <si>
    <t>タスク一覧の進行中に登録タスクが表示される</t>
    <rPh sb="3" eb="5">
      <t>イチラン</t>
    </rPh>
    <rPh sb="6" eb="9">
      <t>シンコウチュウ</t>
    </rPh>
    <rPh sb="10" eb="12">
      <t>トウロク</t>
    </rPh>
    <rPh sb="16" eb="18">
      <t>ヒョウジ</t>
    </rPh>
    <phoneticPr fontId="2"/>
  </si>
  <si>
    <t>完了が選択されている</t>
    <rPh sb="3" eb="5">
      <t>センタク</t>
    </rPh>
    <phoneticPr fontId="2"/>
  </si>
  <si>
    <t>完了を選択して送信</t>
    <rPh sb="3" eb="5">
      <t>センタク</t>
    </rPh>
    <rPh sb="7" eb="9">
      <t>ソウシン</t>
    </rPh>
    <phoneticPr fontId="2"/>
  </si>
  <si>
    <t>タスク一覧の完了に登録タスクが表示される</t>
    <rPh sb="3" eb="5">
      <t>イチラン</t>
    </rPh>
    <rPh sb="6" eb="8">
      <t>カンリョウ</t>
    </rPh>
    <rPh sb="9" eb="11">
      <t>トウロク</t>
    </rPh>
    <rPh sb="15" eb="17">
      <t>ヒョウジ</t>
    </rPh>
    <phoneticPr fontId="2"/>
  </si>
  <si>
    <t>異常系</t>
    <rPh sb="0" eb="3">
      <t>イジョウケイ</t>
    </rPh>
    <phoneticPr fontId="2"/>
  </si>
  <si>
    <t>ネットワーク切断中に通信が発生</t>
  </si>
  <si>
    <t>再接続後に自動リトライする</t>
  </si>
  <si>
    <t>DBサーバーがダウンしている</t>
  </si>
  <si>
    <t>エラー画面を表示しログを出力</t>
  </si>
  <si>
    <t>クライアントからの想定外のバイナリ入力</t>
  </si>
  <si>
    <t>無視または例外処理で終了</t>
  </si>
  <si>
    <t>URLにid直接入力で操作できる？</t>
    <rPh sb="6" eb="10">
      <t>チョクセツニュウリョク</t>
    </rPh>
    <rPh sb="11" eb="13">
      <t>ソウサ</t>
    </rPh>
    <phoneticPr fontId="2"/>
  </si>
  <si>
    <t>画面の幅を小さくしたときのレイアウトは？</t>
    <rPh sb="0" eb="2">
      <t>ガメン</t>
    </rPh>
    <rPh sb="3" eb="4">
      <t>ハバ</t>
    </rPh>
    <rPh sb="5" eb="6">
      <t>チイ</t>
    </rPh>
    <phoneticPr fontId="2"/>
  </si>
  <si>
    <t>https://ar-aca.tech/posts/test-case-normal-abnormal/</t>
    <phoneticPr fontId="2"/>
  </si>
  <si>
    <t>正常系：期待された操作・入力に対して、仕様どおり正しく処理が行われる</t>
  </si>
  <si>
    <t>準異常系：想定されたエラー（無効な入力など）に対し、仕様に沿ったエラーメッセージや処理が行われる</t>
  </si>
  <si>
    <t>異常系：想定外の状況や例外的な事象が発生しても、システムが安定して動作を継続する</t>
  </si>
  <si>
    <t>https://www.qbook.jp/column/1794.html</t>
    <phoneticPr fontId="2"/>
  </si>
  <si>
    <t>項目名</t>
  </si>
  <si>
    <t>テスト対象</t>
  </si>
  <si>
    <t>概要</t>
  </si>
  <si>
    <t>テスト観点</t>
  </si>
  <si>
    <t>ソフトウェアのどの部分をテストの対象とするか</t>
  </si>
  <si>
    <t>実行条件</t>
  </si>
  <si>
    <t>そのテストケースで何を確認するのか</t>
  </si>
  <si>
    <t>実行手順</t>
  </si>
  <si>
    <t>そのテストケースを実行するために何が必要か</t>
  </si>
  <si>
    <t>期待結果</t>
  </si>
  <si>
    <t>具体的にどのような手順で実行するのか</t>
  </si>
  <si>
    <t>どのような挙動や表示であればOK判定となるのか</t>
  </si>
  <si>
    <t>https://www.service.ptw.inc/blog/test-case/</t>
    <phoneticPr fontId="2"/>
  </si>
  <si>
    <t>担当</t>
    <rPh sb="0" eb="2">
      <t>タントウ</t>
    </rPh>
    <phoneticPr fontId="2"/>
  </si>
  <si>
    <t>トップページに遷移する</t>
  </si>
  <si>
    <t>「IDまたはパスワードを入力してください」というメッセージが表示される</t>
  </si>
  <si>
    <t>ログインページに遷移する</t>
  </si>
  <si>
    <t>「パスワードの長さは4文字以上10文字以内です」というメッセージが表示される</t>
  </si>
  <si>
    <t>「パスワードには【英数字と記号:!@#$%^&amp;*()】を含める必要があります」というメッセージが表示される</t>
  </si>
  <si>
    <t>「パスワードの長さは4文字以上10文字以内です」「パスワードには【英数字と記号:!@#$%^&amp;*()】を含める必要があります」というメッセージが表示される</t>
  </si>
  <si>
    <t>ログインユーザ以外が登録したタスク＝灰色</t>
  </si>
  <si>
    <t>完了タスク＝緑</t>
  </si>
  <si>
    <t>進行中で期限切れ＝赤</t>
  </si>
  <si>
    <t>進行中で期限日or 3～1日前＝橙色</t>
  </si>
  <si>
    <t>その他進行中＝青</t>
  </si>
  <si>
    <t>未着手で開始日を過ぎている＝水色</t>
  </si>
  <si>
    <t>コメント追加ボタンがアクティブになる</t>
  </si>
  <si>
    <t>フォーム下に「締切日は開始日以降にしてください」と表示され、タスクが登録できない</t>
  </si>
  <si>
    <t>備考</t>
    <rPh sb="0" eb="2">
      <t>ビコウ</t>
    </rPh>
    <phoneticPr fontId="2"/>
  </si>
  <si>
    <t>光沢</t>
    <rPh sb="0" eb="2">
      <t>コウザワ</t>
    </rPh>
    <phoneticPr fontId="2"/>
  </si>
  <si>
    <t>実行結果</t>
    <rPh sb="0" eb="2">
      <t>ジッコウ</t>
    </rPh>
    <rPh sb="2" eb="4">
      <t>ケッカ</t>
    </rPh>
    <phoneticPr fontId="2"/>
  </si>
  <si>
    <t>〇,△,×</t>
    <phoneticPr fontId="2"/>
  </si>
  <si>
    <t>確認日</t>
    <rPh sb="0" eb="3">
      <t>カクニンビ</t>
    </rPh>
    <phoneticPr fontId="2"/>
  </si>
  <si>
    <t>〇</t>
  </si>
  <si>
    <t>△</t>
  </si>
  <si>
    <t>未着手に入っているので完了＝終了日が？</t>
    <rPh sb="0" eb="3">
      <t>ミチャクシュ</t>
    </rPh>
    <rPh sb="4" eb="5">
      <t>ハイ</t>
    </rPh>
    <rPh sb="11" eb="13">
      <t>カンリョウ</t>
    </rPh>
    <rPh sb="14" eb="17">
      <t>シュウリョウビ</t>
    </rPh>
    <phoneticPr fontId="2"/>
  </si>
  <si>
    <t>〃</t>
    <phoneticPr fontId="2"/>
  </si>
  <si>
    <r>
      <rPr>
        <sz val="11"/>
        <color rgb="FFFF0000"/>
        <rFont val="游ゴシック"/>
        <family val="3"/>
        <charset val="128"/>
        <scheme val="minor"/>
      </rPr>
      <t>詳細モーダルには</t>
    </r>
    <r>
      <rPr>
        <sz val="11"/>
        <color theme="1"/>
        <rFont val="游ゴシック"/>
        <family val="2"/>
        <charset val="128"/>
        <scheme val="minor"/>
      </rPr>
      <t>タスクの内容が空の時</t>
    </r>
    <r>
      <rPr>
        <sz val="11"/>
        <color rgb="FFFF0000"/>
        <rFont val="游ゴシック"/>
        <family val="3"/>
        <charset val="128"/>
        <scheme val="minor"/>
      </rPr>
      <t>「未登録」</t>
    </r>
    <r>
      <rPr>
        <sz val="11"/>
        <color theme="1"/>
        <rFont val="游ゴシック"/>
        <family val="2"/>
        <charset val="128"/>
        <scheme val="minor"/>
      </rPr>
      <t>と表示</t>
    </r>
    <rPh sb="0" eb="2">
      <t>ショウサイ</t>
    </rPh>
    <rPh sb="12" eb="14">
      <t>ナイヨウ</t>
    </rPh>
    <rPh sb="15" eb="16">
      <t>カラ</t>
    </rPh>
    <rPh sb="17" eb="18">
      <t>トキ</t>
    </rPh>
    <rPh sb="19" eb="22">
      <t>ミトウロク</t>
    </rPh>
    <rPh sb="24" eb="26">
      <t>ヒョウジ</t>
    </rPh>
    <phoneticPr fontId="2"/>
  </si>
  <si>
    <r>
      <rPr>
        <sz val="11"/>
        <color rgb="FFFF0000"/>
        <rFont val="游ゴシック"/>
        <family val="3"/>
        <charset val="128"/>
        <scheme val="minor"/>
      </rPr>
      <t>詳細モーダルには</t>
    </r>
    <r>
      <rPr>
        <sz val="11"/>
        <color theme="1"/>
        <rFont val="游ゴシック"/>
        <family val="2"/>
        <charset val="128"/>
        <scheme val="minor"/>
      </rPr>
      <t>更新されていない時、</t>
    </r>
    <r>
      <rPr>
        <sz val="11"/>
        <color rgb="FFFF0000"/>
        <rFont val="游ゴシック"/>
        <family val="3"/>
        <charset val="128"/>
        <scheme val="minor"/>
      </rPr>
      <t>作成日の下に</t>
    </r>
    <r>
      <rPr>
        <sz val="11"/>
        <color theme="1"/>
        <rFont val="游ゴシック"/>
        <family val="2"/>
        <charset val="128"/>
        <scheme val="minor"/>
      </rPr>
      <t>「未更新」の表示</t>
    </r>
    <rPh sb="0" eb="2">
      <t>ショウサイ</t>
    </rPh>
    <rPh sb="8" eb="10">
      <t>コウシン</t>
    </rPh>
    <rPh sb="16" eb="17">
      <t>トキ</t>
    </rPh>
    <rPh sb="18" eb="21">
      <t>サクセイビ</t>
    </rPh>
    <rPh sb="22" eb="23">
      <t>シタ</t>
    </rPh>
    <rPh sb="25" eb="28">
      <t>ミコウシン</t>
    </rPh>
    <rPh sb="30" eb="32">
      <t>ヒョウジ</t>
    </rPh>
    <phoneticPr fontId="2"/>
  </si>
  <si>
    <r>
      <rPr>
        <sz val="11"/>
        <color rgb="FFFF0000"/>
        <rFont val="游ゴシック"/>
        <family val="3"/>
        <charset val="128"/>
        <scheme val="minor"/>
      </rPr>
      <t>詳細モーダルには</t>
    </r>
    <r>
      <rPr>
        <sz val="11"/>
        <rFont val="游ゴシック"/>
        <family val="3"/>
        <charset val="128"/>
        <scheme val="minor"/>
      </rPr>
      <t>コメントが空の</t>
    </r>
    <r>
      <rPr>
        <sz val="11"/>
        <color theme="1"/>
        <rFont val="游ゴシック"/>
        <family val="2"/>
        <charset val="128"/>
        <scheme val="minor"/>
      </rPr>
      <t>時、「コメントはありません。」の表示</t>
    </r>
    <rPh sb="0" eb="2">
      <t>ショウサイ</t>
    </rPh>
    <rPh sb="13" eb="14">
      <t>カラ</t>
    </rPh>
    <rPh sb="15" eb="16">
      <t>トキ</t>
    </rPh>
    <rPh sb="31" eb="33">
      <t>ヒョウジ</t>
    </rPh>
    <phoneticPr fontId="2"/>
  </si>
  <si>
    <r>
      <rPr>
        <sz val="11"/>
        <color rgb="FFFF0000"/>
        <rFont val="游ゴシック"/>
        <family val="3"/>
        <charset val="128"/>
        <scheme val="minor"/>
      </rPr>
      <t>「閉じる」ボタンまたは右上の×</t>
    </r>
    <r>
      <rPr>
        <sz val="11"/>
        <color theme="1"/>
        <rFont val="游ゴシック"/>
        <family val="2"/>
        <charset val="128"/>
        <scheme val="minor"/>
      </rPr>
      <t>で閉じて一覧に戻る</t>
    </r>
    <rPh sb="1" eb="2">
      <t>ト</t>
    </rPh>
    <rPh sb="11" eb="13">
      <t>ミギウエ</t>
    </rPh>
    <rPh sb="16" eb="17">
      <t>ト</t>
    </rPh>
    <rPh sb="19" eb="21">
      <t>イチラン</t>
    </rPh>
    <rPh sb="22" eb="23">
      <t>モド</t>
    </rPh>
    <phoneticPr fontId="2"/>
  </si>
  <si>
    <r>
      <t>「タスク名を入力してください」</t>
    </r>
    <r>
      <rPr>
        <sz val="11"/>
        <rFont val="游ゴシック"/>
        <family val="3"/>
        <charset val="128"/>
        <scheme val="minor"/>
      </rPr>
      <t>が表示</t>
    </r>
    <rPh sb="4" eb="5">
      <t>メイ</t>
    </rPh>
    <rPh sb="6" eb="8">
      <t>ニュウリョク</t>
    </rPh>
    <rPh sb="16" eb="18">
      <t>ヒョウジ</t>
    </rPh>
    <phoneticPr fontId="2"/>
  </si>
  <si>
    <t>新規登録したタスクが、未着手に表示</t>
    <rPh sb="0" eb="4">
      <t>シンキトウロク</t>
    </rPh>
    <rPh sb="11" eb="14">
      <t>ミチャクシュ</t>
    </rPh>
    <rPh sb="15" eb="17">
      <t>ヒョウジ</t>
    </rPh>
    <phoneticPr fontId="2"/>
  </si>
  <si>
    <t>新規登録したタスクが、進行中に表示</t>
    <rPh sb="11" eb="14">
      <t>シンコウチュウ</t>
    </rPh>
    <phoneticPr fontId="2"/>
  </si>
  <si>
    <t>新規登録したタスクが、完了に表示</t>
    <rPh sb="11" eb="13">
      <t>カンリョウ</t>
    </rPh>
    <phoneticPr fontId="2"/>
  </si>
  <si>
    <r>
      <rPr>
        <b/>
        <sz val="11"/>
        <color rgb="FFFF0000"/>
        <rFont val="游ゴシック"/>
        <family val="3"/>
        <charset val="128"/>
        <scheme val="minor"/>
      </rPr>
      <t>完了</t>
    </r>
    <r>
      <rPr>
        <sz val="11"/>
        <color theme="1"/>
        <rFont val="游ゴシック"/>
        <family val="2"/>
        <charset val="128"/>
        <scheme val="minor"/>
      </rPr>
      <t>に終了日の異なるタスクが複数ある</t>
    </r>
    <rPh sb="0" eb="2">
      <t>カンリョウ</t>
    </rPh>
    <rPh sb="3" eb="6">
      <t>シュウリョウビ</t>
    </rPh>
    <rPh sb="7" eb="8">
      <t>コト</t>
    </rPh>
    <rPh sb="14" eb="16">
      <t>フクスウ</t>
    </rPh>
    <phoneticPr fontId="2"/>
  </si>
  <si>
    <r>
      <rPr>
        <b/>
        <sz val="11"/>
        <color rgb="FFFF0000"/>
        <rFont val="游ゴシック"/>
        <family val="3"/>
        <charset val="128"/>
        <scheme val="minor"/>
      </rPr>
      <t>完了</t>
    </r>
    <r>
      <rPr>
        <sz val="11"/>
        <color theme="1"/>
        <rFont val="游ゴシック"/>
        <family val="2"/>
        <charset val="128"/>
        <scheme val="minor"/>
      </rPr>
      <t>に終了日の異なるタスクを作成する</t>
    </r>
    <rPh sb="0" eb="2">
      <t>カンリョウ</t>
    </rPh>
    <rPh sb="3" eb="6">
      <t>シュウリョウビ</t>
    </rPh>
    <rPh sb="7" eb="8">
      <t>コト</t>
    </rPh>
    <phoneticPr fontId="2"/>
  </si>
  <si>
    <r>
      <rPr>
        <b/>
        <sz val="11"/>
        <color rgb="FFFF0000"/>
        <rFont val="游ゴシック"/>
        <family val="3"/>
        <charset val="128"/>
        <scheme val="minor"/>
      </rPr>
      <t>完了</t>
    </r>
    <r>
      <rPr>
        <sz val="11"/>
        <color theme="1"/>
        <rFont val="游ゴシック"/>
        <family val="2"/>
        <charset val="128"/>
        <scheme val="minor"/>
      </rPr>
      <t>に終了日が同じで開始日が異なるタスクが複数ある</t>
    </r>
    <rPh sb="0" eb="2">
      <t>カンリョウ</t>
    </rPh>
    <rPh sb="3" eb="6">
      <t>シュウリョウビ</t>
    </rPh>
    <rPh sb="7" eb="8">
      <t>オナ</t>
    </rPh>
    <rPh sb="10" eb="13">
      <t>カイシビ</t>
    </rPh>
    <rPh sb="14" eb="15">
      <t>コト</t>
    </rPh>
    <rPh sb="21" eb="23">
      <t>フクスウ</t>
    </rPh>
    <phoneticPr fontId="2"/>
  </si>
  <si>
    <r>
      <rPr>
        <b/>
        <sz val="11"/>
        <color rgb="FFFF0000"/>
        <rFont val="游ゴシック"/>
        <family val="3"/>
        <charset val="128"/>
        <scheme val="minor"/>
      </rPr>
      <t>完了</t>
    </r>
    <r>
      <rPr>
        <sz val="11"/>
        <color theme="1"/>
        <rFont val="游ゴシック"/>
        <family val="2"/>
        <charset val="128"/>
        <scheme val="minor"/>
      </rPr>
      <t>に終了日が同じで開始日が異なるタスクを作成する</t>
    </r>
    <rPh sb="0" eb="2">
      <t>カンリョウ</t>
    </rPh>
    <rPh sb="3" eb="6">
      <t>シュウリョウビ</t>
    </rPh>
    <rPh sb="7" eb="8">
      <t>オナ</t>
    </rPh>
    <rPh sb="10" eb="13">
      <t>カイシビ</t>
    </rPh>
    <rPh sb="14" eb="15">
      <t>コト</t>
    </rPh>
    <phoneticPr fontId="2"/>
  </si>
  <si>
    <r>
      <t>「</t>
    </r>
    <r>
      <rPr>
        <sz val="11"/>
        <color rgb="FFFF0000"/>
        <rFont val="游ゴシック"/>
        <family val="3"/>
        <charset val="128"/>
        <scheme val="minor"/>
      </rPr>
      <t>グループ名は20文字以内にしてください</t>
    </r>
    <r>
      <rPr>
        <sz val="11"/>
        <color theme="1"/>
        <rFont val="游ゴシック"/>
        <family val="2"/>
        <charset val="128"/>
        <scheme val="minor"/>
      </rPr>
      <t>」と表示</t>
    </r>
    <rPh sb="5" eb="6">
      <t>メイ</t>
    </rPh>
    <rPh sb="9" eb="13">
      <t>モジイナイ</t>
    </rPh>
    <rPh sb="22" eb="24">
      <t>ヒョウジ</t>
    </rPh>
    <phoneticPr fontId="2"/>
  </si>
  <si>
    <r>
      <t>「</t>
    </r>
    <r>
      <rPr>
        <sz val="11"/>
        <color rgb="FFFF0000"/>
        <rFont val="游ゴシック"/>
        <family val="3"/>
        <charset val="128"/>
        <scheme val="minor"/>
      </rPr>
      <t>グループ名を入力してください</t>
    </r>
    <r>
      <rPr>
        <sz val="11"/>
        <color theme="1"/>
        <rFont val="游ゴシック"/>
        <family val="2"/>
        <charset val="128"/>
        <scheme val="minor"/>
      </rPr>
      <t>」の表示でグループ作成ボタンが押せない</t>
    </r>
    <rPh sb="5" eb="6">
      <t>メイ</t>
    </rPh>
    <rPh sb="7" eb="9">
      <t>ニュウリョク</t>
    </rPh>
    <rPh sb="17" eb="19">
      <t>ヒョウジ</t>
    </rPh>
    <rPh sb="24" eb="26">
      <t>サクセイ</t>
    </rPh>
    <rPh sb="30" eb="31">
      <t>オ</t>
    </rPh>
    <phoneticPr fontId="2"/>
  </si>
  <si>
    <r>
      <t>「</t>
    </r>
    <r>
      <rPr>
        <sz val="11"/>
        <color rgb="FFFF0000"/>
        <rFont val="游ゴシック"/>
        <family val="3"/>
        <charset val="128"/>
        <scheme val="minor"/>
      </rPr>
      <t>開始日を入力してください</t>
    </r>
    <r>
      <rPr>
        <sz val="11"/>
        <color theme="1"/>
        <rFont val="游ゴシック"/>
        <family val="2"/>
        <charset val="128"/>
        <scheme val="minor"/>
      </rPr>
      <t>」と表示</t>
    </r>
    <rPh sb="1" eb="4">
      <t>カイシビ</t>
    </rPh>
    <rPh sb="5" eb="7">
      <t>ニュウリョク</t>
    </rPh>
    <rPh sb="15" eb="17">
      <t>ヒョウジ</t>
    </rPh>
    <phoneticPr fontId="2"/>
  </si>
  <si>
    <r>
      <t>「</t>
    </r>
    <r>
      <rPr>
        <sz val="11"/>
        <color rgb="FFFF0000"/>
        <rFont val="游ゴシック"/>
        <family val="3"/>
        <charset val="128"/>
        <scheme val="minor"/>
      </rPr>
      <t>締切日は開始日より後にしてください</t>
    </r>
    <r>
      <rPr>
        <sz val="11"/>
        <color theme="1"/>
        <rFont val="游ゴシック"/>
        <family val="2"/>
        <charset val="128"/>
        <scheme val="minor"/>
      </rPr>
      <t>」と表示</t>
    </r>
    <rPh sb="1" eb="4">
      <t>シメキリビ</t>
    </rPh>
    <rPh sb="5" eb="8">
      <t>カイシビ</t>
    </rPh>
    <rPh sb="10" eb="11">
      <t>アト</t>
    </rPh>
    <rPh sb="20" eb="22">
      <t>ヒョウジ</t>
    </rPh>
    <phoneticPr fontId="2"/>
  </si>
  <si>
    <t>光沢</t>
  </si>
  <si>
    <r>
      <t>「</t>
    </r>
    <r>
      <rPr>
        <sz val="11"/>
        <color rgb="FFFF0000"/>
        <rFont val="游ゴシック"/>
        <family val="3"/>
        <charset val="128"/>
        <scheme val="minor"/>
      </rPr>
      <t>【タスク名】(日時)test2さんがタスクを更新しました。</t>
    </r>
    <r>
      <rPr>
        <sz val="11"/>
        <color theme="1"/>
        <rFont val="游ゴシック"/>
        <family val="2"/>
        <charset val="128"/>
        <scheme val="minor"/>
      </rPr>
      <t>」と表示</t>
    </r>
    <rPh sb="23" eb="25">
      <t>コウシン</t>
    </rPh>
    <phoneticPr fontId="2"/>
  </si>
  <si>
    <r>
      <t>「</t>
    </r>
    <r>
      <rPr>
        <sz val="11"/>
        <color rgb="FFFF0000"/>
        <rFont val="游ゴシック"/>
        <family val="3"/>
        <charset val="128"/>
        <scheme val="minor"/>
      </rPr>
      <t>【タスク名】(日時)test2さんがコメントを追加しました。</t>
    </r>
    <r>
      <rPr>
        <sz val="11"/>
        <color theme="1"/>
        <rFont val="游ゴシック"/>
        <family val="2"/>
        <charset val="128"/>
        <scheme val="minor"/>
      </rPr>
      <t>」と表示</t>
    </r>
    <rPh sb="24" eb="26">
      <t>ツイカ</t>
    </rPh>
    <phoneticPr fontId="2"/>
  </si>
  <si>
    <r>
      <t>「</t>
    </r>
    <r>
      <rPr>
        <sz val="11"/>
        <color rgb="FFFF0000"/>
        <rFont val="游ゴシック"/>
        <family val="3"/>
        <charset val="128"/>
        <scheme val="minor"/>
      </rPr>
      <t>【グループ削除】(日時)test1さんがグループ「グループ1」を削除しました。</t>
    </r>
    <r>
      <rPr>
        <sz val="11"/>
        <color theme="1"/>
        <rFont val="游ゴシック"/>
        <family val="3"/>
        <charset val="128"/>
        <scheme val="minor"/>
      </rPr>
      <t>」と表示</t>
    </r>
    <rPh sb="6" eb="8">
      <t>サクジョ</t>
    </rPh>
    <rPh sb="10" eb="12">
      <t>ニチジ</t>
    </rPh>
    <rPh sb="33" eb="35">
      <t>サクジョ</t>
    </rPh>
    <rPh sb="42" eb="44">
      <t>ヒョウジ</t>
    </rPh>
    <phoneticPr fontId="2"/>
  </si>
  <si>
    <t>【グループ削除】の通知のみ</t>
    <rPh sb="5" eb="7">
      <t>サクジョ</t>
    </rPh>
    <rPh sb="9" eb="11">
      <t>ツウチ</t>
    </rPh>
    <phoneticPr fontId="2"/>
  </si>
  <si>
    <t>チェック総数</t>
    <rPh sb="4" eb="6">
      <t>ソウスウ</t>
    </rPh>
    <phoneticPr fontId="2"/>
  </si>
  <si>
    <t>未チェック</t>
    <rPh sb="0" eb="1">
      <t>ミ</t>
    </rPh>
    <phoneticPr fontId="2"/>
  </si>
  <si>
    <t>完了(実行結果が〇)</t>
    <rPh sb="0" eb="2">
      <t>カンリョウ</t>
    </rPh>
    <rPh sb="3" eb="5">
      <t>ジッコウ</t>
    </rPh>
    <rPh sb="5" eb="7">
      <t>ケッカ</t>
    </rPh>
    <phoneticPr fontId="2"/>
  </si>
  <si>
    <r>
      <t>「</t>
    </r>
    <r>
      <rPr>
        <sz val="11"/>
        <color rgb="FFFF0000"/>
        <rFont val="游ゴシック"/>
        <family val="3"/>
        <charset val="128"/>
        <scheme val="minor"/>
      </rPr>
      <t>認証不備です</t>
    </r>
    <r>
      <rPr>
        <sz val="11"/>
        <color theme="1"/>
        <rFont val="游ゴシック"/>
        <family val="2"/>
        <charset val="128"/>
        <scheme val="minor"/>
      </rPr>
      <t>」のメッセージが表示</t>
    </r>
    <rPh sb="1" eb="5">
      <t>ニンショウフビ</t>
    </rPh>
    <rPh sb="15" eb="17">
      <t>ヒョウジ</t>
    </rPh>
    <phoneticPr fontId="2"/>
  </si>
  <si>
    <r>
      <t>「</t>
    </r>
    <r>
      <rPr>
        <sz val="11"/>
        <color rgb="FFFF0000"/>
        <rFont val="游ゴシック"/>
        <family val="3"/>
        <charset val="128"/>
        <scheme val="minor"/>
      </rPr>
      <t>ユーザー名入力してください</t>
    </r>
    <r>
      <rPr>
        <sz val="11"/>
        <color theme="1"/>
        <rFont val="游ゴシック"/>
        <family val="2"/>
        <charset val="128"/>
        <scheme val="minor"/>
      </rPr>
      <t>」のメッセージが表示</t>
    </r>
    <rPh sb="5" eb="6">
      <t>メイ</t>
    </rPh>
    <rPh sb="6" eb="8">
      <t>ニュウリョク</t>
    </rPh>
    <phoneticPr fontId="2"/>
  </si>
  <si>
    <r>
      <t>「</t>
    </r>
    <r>
      <rPr>
        <sz val="11"/>
        <color rgb="FFFF0000"/>
        <rFont val="游ゴシック"/>
        <family val="3"/>
        <charset val="128"/>
        <scheme val="minor"/>
      </rPr>
      <t>パスワードを入力してください</t>
    </r>
    <r>
      <rPr>
        <sz val="11"/>
        <color theme="1"/>
        <rFont val="游ゴシック"/>
        <family val="2"/>
        <charset val="128"/>
        <scheme val="minor"/>
      </rPr>
      <t>」のメッセージが表示</t>
    </r>
    <rPh sb="7" eb="9">
      <t>ニュウリョク</t>
    </rPh>
    <phoneticPr fontId="2"/>
  </si>
  <si>
    <r>
      <t>「</t>
    </r>
    <r>
      <rPr>
        <sz val="11"/>
        <color rgb="FFFF0000"/>
        <rFont val="游ゴシック"/>
        <family val="3"/>
        <charset val="128"/>
        <scheme val="minor"/>
      </rPr>
      <t>こちらから登録</t>
    </r>
    <r>
      <rPr>
        <sz val="11"/>
        <color theme="1"/>
        <rFont val="游ゴシック"/>
        <family val="2"/>
        <charset val="128"/>
        <scheme val="minor"/>
      </rPr>
      <t>」をクリック、</t>
    </r>
    <r>
      <rPr>
        <sz val="11"/>
        <color rgb="FFFF0000"/>
        <rFont val="游ゴシック"/>
        <family val="3"/>
        <charset val="128"/>
        <scheme val="minor"/>
      </rPr>
      <t>ユーザー登録</t>
    </r>
    <r>
      <rPr>
        <sz val="11"/>
        <color theme="1"/>
        <rFont val="游ゴシック"/>
        <family val="2"/>
        <charset val="128"/>
        <scheme val="minor"/>
      </rPr>
      <t>に遷移</t>
    </r>
    <rPh sb="6" eb="8">
      <t>トウロク</t>
    </rPh>
    <rPh sb="19" eb="21">
      <t>トウロク</t>
    </rPh>
    <rPh sb="22" eb="24">
      <t>センイ</t>
    </rPh>
    <phoneticPr fontId="2"/>
  </si>
  <si>
    <t>ユーザ名「testtesttest3」と正しいパスワード「!pass1」を入力し送信すると登録される、「testtesttesttesttest3」でも登録される</t>
    <rPh sb="45" eb="47">
      <t>トウロク</t>
    </rPh>
    <rPh sb="76" eb="78">
      <t>トウロク</t>
    </rPh>
    <phoneticPr fontId="2"/>
  </si>
  <si>
    <r>
      <t>「</t>
    </r>
    <r>
      <rPr>
        <sz val="11"/>
        <color rgb="FFFF0000"/>
        <rFont val="游ゴシック"/>
        <family val="3"/>
        <charset val="128"/>
        <scheme val="minor"/>
      </rPr>
      <t>4～10文字で作成してください</t>
    </r>
    <r>
      <rPr>
        <sz val="11"/>
        <color theme="1"/>
        <rFont val="游ゴシック"/>
        <family val="2"/>
        <charset val="128"/>
        <scheme val="minor"/>
      </rPr>
      <t>」と表示</t>
    </r>
    <rPh sb="5" eb="7">
      <t>モジ</t>
    </rPh>
    <rPh sb="8" eb="10">
      <t>サクセイ</t>
    </rPh>
    <rPh sb="18" eb="20">
      <t>ヒョウジ</t>
    </rPh>
    <phoneticPr fontId="2"/>
  </si>
  <si>
    <r>
      <t>「</t>
    </r>
    <r>
      <rPr>
        <sz val="11"/>
        <color rgb="FFFF0000"/>
        <rFont val="游ゴシック"/>
        <family val="3"/>
        <charset val="128"/>
        <scheme val="minor"/>
      </rPr>
      <t>パスワードを作成してください</t>
    </r>
    <r>
      <rPr>
        <sz val="11"/>
        <color theme="1"/>
        <rFont val="游ゴシック"/>
        <family val="2"/>
        <charset val="128"/>
        <scheme val="minor"/>
      </rPr>
      <t>」のメッセージが表示</t>
    </r>
    <rPh sb="7" eb="9">
      <t>サクセイ</t>
    </rPh>
    <phoneticPr fontId="2"/>
  </si>
  <si>
    <t>「ユーザー一覧」で確認、「ユーザー登録」画面</t>
    <rPh sb="5" eb="7">
      <t>イチラン</t>
    </rPh>
    <rPh sb="9" eb="11">
      <t>カクニン</t>
    </rPh>
    <rPh sb="17" eb="19">
      <t>トウロク</t>
    </rPh>
    <rPh sb="20" eb="22">
      <t>ガメン</t>
    </rPh>
    <phoneticPr fontId="2"/>
  </si>
  <si>
    <t>「パスワードの長さは4文字以上10文字以内です」というメッセージが表示される</t>
    <phoneticPr fontId="2"/>
  </si>
  <si>
    <r>
      <t>「パスワードの長さは4文字以上10文字以内です」</t>
    </r>
    <r>
      <rPr>
        <sz val="11"/>
        <rFont val="游ゴシック"/>
        <family val="3"/>
        <charset val="128"/>
        <scheme val="minor"/>
      </rPr>
      <t>というメッセージが表示されない。１１文字以上は入力できない。よってサインアップはできない。</t>
    </r>
    <rPh sb="42" eb="44">
      <t>モジ</t>
    </rPh>
    <rPh sb="44" eb="46">
      <t>イジョウ</t>
    </rPh>
    <rPh sb="47" eb="49">
      <t>ニュウリョク</t>
    </rPh>
    <phoneticPr fontId="2"/>
  </si>
  <si>
    <r>
      <t>「</t>
    </r>
    <r>
      <rPr>
        <sz val="11"/>
        <color rgb="FFFF0000"/>
        <rFont val="游ゴシック"/>
        <family val="3"/>
        <charset val="128"/>
        <scheme val="minor"/>
      </rPr>
      <t>こちらからログイン</t>
    </r>
    <r>
      <rPr>
        <sz val="11"/>
        <color theme="1"/>
        <rFont val="游ゴシック"/>
        <family val="2"/>
        <charset val="128"/>
        <scheme val="minor"/>
      </rPr>
      <t>」をクリック</t>
    </r>
    <phoneticPr fontId="2"/>
  </si>
  <si>
    <t>2026/5/〇〇</t>
  </si>
  <si>
    <t>新規作成をクリック</t>
    <rPh sb="0" eb="2">
      <t>シンキ</t>
    </rPh>
    <rPh sb="2" eb="4">
      <t>サクセイ</t>
    </rPh>
    <phoneticPr fontId="2"/>
  </si>
  <si>
    <t>どんな状況をテスト（What）</t>
    <phoneticPr fontId="2"/>
  </si>
  <si>
    <t>具体的な操作（How）</t>
    <phoneticPr fontId="2"/>
  </si>
  <si>
    <t>在庫一覧</t>
    <rPh sb="0" eb="2">
      <t>ザイコ</t>
    </rPh>
    <rPh sb="2" eb="4">
      <t>イチラン</t>
    </rPh>
    <phoneticPr fontId="2"/>
  </si>
  <si>
    <t>在庫表新規作成</t>
    <rPh sb="0" eb="3">
      <t>ザイコヒョウ</t>
    </rPh>
    <rPh sb="3" eb="7">
      <t>シンキサクセイ</t>
    </rPh>
    <phoneticPr fontId="2"/>
  </si>
  <si>
    <t>入力制限</t>
    <phoneticPr fontId="2"/>
  </si>
  <si>
    <t>英数字の大文字以外入力</t>
    <rPh sb="0" eb="3">
      <t>エイスウジ</t>
    </rPh>
    <rPh sb="4" eb="7">
      <t>オオモジ</t>
    </rPh>
    <rPh sb="7" eb="9">
      <t>イガイ</t>
    </rPh>
    <rPh sb="9" eb="11">
      <t>ニュウリョク</t>
    </rPh>
    <phoneticPr fontId="2"/>
  </si>
  <si>
    <t>文字数1～50以外入力</t>
    <rPh sb="9" eb="11">
      <t>ニュウリョク</t>
    </rPh>
    <phoneticPr fontId="2"/>
  </si>
  <si>
    <t>新規作成ページに遷移</t>
    <rPh sb="0" eb="2">
      <t>シンキ</t>
    </rPh>
    <rPh sb="2" eb="4">
      <t>サクセイ</t>
    </rPh>
    <rPh sb="8" eb="10">
      <t>センイ</t>
    </rPh>
    <phoneticPr fontId="2"/>
  </si>
  <si>
    <t>在庫一覧ページに遷移</t>
    <rPh sb="0" eb="4">
      <t>ザイコ</t>
    </rPh>
    <rPh sb="8" eb="10">
      <t>センイ</t>
    </rPh>
    <phoneticPr fontId="2"/>
  </si>
  <si>
    <t>0ならエラー / 50以上なら入力制限</t>
    <rPh sb="11" eb="13">
      <t>イジョウ</t>
    </rPh>
    <phoneticPr fontId="2"/>
  </si>
  <si>
    <t>文字数はtextcount.exe使ってください。(長沢)</t>
    <phoneticPr fontId="2"/>
  </si>
  <si>
    <t>複数ボタンチェック</t>
    <rPh sb="0" eb="2">
      <t>フクスウ</t>
    </rPh>
    <phoneticPr fontId="2"/>
  </si>
  <si>
    <t>ひとつしか選択できない</t>
    <rPh sb="5" eb="7">
      <t>センタク</t>
    </rPh>
    <phoneticPr fontId="2"/>
  </si>
  <si>
    <t>商品コードフィールドにエラー表示</t>
    <rPh sb="0" eb="2">
      <t>ショウヒン</t>
    </rPh>
    <rPh sb="14" eb="16">
      <t>ヒョウジ</t>
    </rPh>
    <phoneticPr fontId="2"/>
  </si>
  <si>
    <t>商品名フィールドにエラー表示</t>
    <rPh sb="0" eb="2">
      <t>ショウヒン</t>
    </rPh>
    <rPh sb="2" eb="3">
      <t>メイ</t>
    </rPh>
    <rPh sb="12" eb="14">
      <t>ヒョウジ</t>
    </rPh>
    <phoneticPr fontId="2"/>
  </si>
  <si>
    <t>カテゴリフィールドにエラー表示</t>
    <rPh sb="13" eb="15">
      <t>ヒョウジ</t>
    </rPh>
    <phoneticPr fontId="2"/>
  </si>
  <si>
    <t>在庫下限のみ入力</t>
    <rPh sb="0" eb="2">
      <t>ザイコ</t>
    </rPh>
    <rPh sb="2" eb="4">
      <t>カゲン</t>
    </rPh>
    <rPh sb="6" eb="8">
      <t>ニュウリョク</t>
    </rPh>
    <phoneticPr fontId="2"/>
  </si>
  <si>
    <t>英数字入力　例:A100</t>
    <rPh sb="0" eb="3">
      <t>エイスウジ</t>
    </rPh>
    <rPh sb="3" eb="5">
      <t>ニュウリョク</t>
    </rPh>
    <rPh sb="6" eb="7">
      <t>レイ</t>
    </rPh>
    <phoneticPr fontId="2"/>
  </si>
  <si>
    <t>商品コードのみ入力</t>
    <rPh sb="0" eb="2">
      <t>ショウヒン</t>
    </rPh>
    <rPh sb="7" eb="9">
      <t>ニュウリョク</t>
    </rPh>
    <phoneticPr fontId="2"/>
  </si>
  <si>
    <t>商品名のみ入力</t>
    <rPh sb="0" eb="2">
      <t>ショウヒン</t>
    </rPh>
    <rPh sb="2" eb="3">
      <t>メイ</t>
    </rPh>
    <phoneticPr fontId="2"/>
  </si>
  <si>
    <t>カテゴリのみ入力</t>
    <phoneticPr fontId="2"/>
  </si>
  <si>
    <t>英数字や日本語で入力　
例:defはさみ11MAX</t>
    <rPh sb="0" eb="3">
      <t>エイスウジ</t>
    </rPh>
    <rPh sb="4" eb="7">
      <t>ニホンゴ</t>
    </rPh>
    <rPh sb="8" eb="10">
      <t>ニュウリョク</t>
    </rPh>
    <rPh sb="12" eb="13">
      <t>レイ</t>
    </rPh>
    <phoneticPr fontId="2"/>
  </si>
  <si>
    <t>ラジオボタン一つ選択</t>
    <rPh sb="6" eb="7">
      <t>ヒト</t>
    </rPh>
    <rPh sb="8" eb="10">
      <t>センタク</t>
    </rPh>
    <phoneticPr fontId="2"/>
  </si>
  <si>
    <t>数字入力　例:10000</t>
    <rPh sb="0" eb="2">
      <t>スウジ</t>
    </rPh>
    <rPh sb="2" eb="4">
      <t>ニュウリョク</t>
    </rPh>
    <rPh sb="5" eb="6">
      <t>レイ</t>
    </rPh>
    <phoneticPr fontId="2"/>
  </si>
  <si>
    <t>範囲0～10000以外入力</t>
    <rPh sb="0" eb="2">
      <t>ハンイ</t>
    </rPh>
    <rPh sb="9" eb="11">
      <t>イガイ</t>
    </rPh>
    <rPh sb="11" eb="13">
      <t>ニュウリョク</t>
    </rPh>
    <phoneticPr fontId="2"/>
  </si>
  <si>
    <t>10000以上や-1を入力制限</t>
    <rPh sb="5" eb="7">
      <t>イジョウ</t>
    </rPh>
    <phoneticPr fontId="2"/>
  </si>
  <si>
    <t>在庫下限フィールドにエラー表示</t>
    <rPh sb="13" eb="15">
      <t>ヒョウジ</t>
    </rPh>
    <phoneticPr fontId="2"/>
  </si>
  <si>
    <t>在庫下限フィールド空欄</t>
    <rPh sb="0" eb="4">
      <t>ザイコカゲン</t>
    </rPh>
    <rPh sb="9" eb="11">
      <t>クウラン</t>
    </rPh>
    <phoneticPr fontId="2"/>
  </si>
  <si>
    <t>カテゴリフィールド空欄</t>
    <rPh sb="9" eb="11">
      <t>クウラン</t>
    </rPh>
    <phoneticPr fontId="2"/>
  </si>
  <si>
    <t>商品名フィールド空欄</t>
    <rPh sb="0" eb="2">
      <t>ショウヒン</t>
    </rPh>
    <rPh sb="2" eb="3">
      <t>メイ</t>
    </rPh>
    <rPh sb="8" eb="10">
      <t>クウラン</t>
    </rPh>
    <phoneticPr fontId="2"/>
  </si>
  <si>
    <t>商品コードフィールド空欄</t>
    <rPh sb="0" eb="2">
      <t>ショウヒン</t>
    </rPh>
    <rPh sb="10" eb="12">
      <t>クウラン</t>
    </rPh>
    <phoneticPr fontId="2"/>
  </si>
  <si>
    <t>日付のみ入力</t>
    <rPh sb="0" eb="2">
      <t>ヒヅケ</t>
    </rPh>
    <rPh sb="4" eb="6">
      <t>ニュウリョク</t>
    </rPh>
    <phoneticPr fontId="2"/>
  </si>
  <si>
    <t>範囲0001/01/01～9999/12/31以外入力</t>
    <rPh sb="0" eb="2">
      <t>ハンイ</t>
    </rPh>
    <rPh sb="23" eb="25">
      <t>イガイ</t>
    </rPh>
    <rPh sb="25" eb="27">
      <t>ニュウリョク</t>
    </rPh>
    <phoneticPr fontId="2"/>
  </si>
  <si>
    <t>日付入力　例:2026/05/18</t>
    <rPh sb="0" eb="2">
      <t>ヒヅケ</t>
    </rPh>
    <rPh sb="2" eb="4">
      <t>ニュウリョク</t>
    </rPh>
    <rPh sb="5" eb="6">
      <t>レイ</t>
    </rPh>
    <phoneticPr fontId="2"/>
  </si>
  <si>
    <t>最小0001/01/01
最大9999/12/31
上記に修正される</t>
    <rPh sb="0" eb="2">
      <t>サイショウ</t>
    </rPh>
    <rPh sb="13" eb="15">
      <t>サイダイ</t>
    </rPh>
    <rPh sb="26" eb="28">
      <t>ジョウキ</t>
    </rPh>
    <rPh sb="29" eb="31">
      <t>シュウセイ</t>
    </rPh>
    <phoneticPr fontId="2"/>
  </si>
  <si>
    <t>数量のみ入力</t>
    <rPh sb="0" eb="2">
      <t>スウリョウ</t>
    </rPh>
    <rPh sb="4" eb="6">
      <t>ニュウリョク</t>
    </rPh>
    <phoneticPr fontId="2"/>
  </si>
  <si>
    <t>商品コードと
備考以外入力</t>
    <rPh sb="0" eb="2">
      <t>ショウヒン</t>
    </rPh>
    <rPh sb="7" eb="9">
      <t>ビコウ</t>
    </rPh>
    <rPh sb="9" eb="11">
      <t>イガイ</t>
    </rPh>
    <rPh sb="11" eb="13">
      <t>ニュウリョク</t>
    </rPh>
    <phoneticPr fontId="2"/>
  </si>
  <si>
    <t>商品名と
備考以外入力</t>
    <rPh sb="0" eb="2">
      <t>ショウヒン</t>
    </rPh>
    <rPh sb="2" eb="3">
      <t>メイ</t>
    </rPh>
    <rPh sb="5" eb="7">
      <t>ビコウ</t>
    </rPh>
    <rPh sb="7" eb="9">
      <t>イガイ</t>
    </rPh>
    <rPh sb="9" eb="11">
      <t>ニュウリョク</t>
    </rPh>
    <phoneticPr fontId="2"/>
  </si>
  <si>
    <t>カテゴリと
備考以外入力</t>
    <rPh sb="6" eb="8">
      <t>ビコウ</t>
    </rPh>
    <rPh sb="8" eb="10">
      <t>イガイ</t>
    </rPh>
    <rPh sb="10" eb="12">
      <t>ニュウリョク</t>
    </rPh>
    <phoneticPr fontId="2"/>
  </si>
  <si>
    <t>在庫下限と
備考以外入力</t>
    <rPh sb="0" eb="4">
      <t>ザイコカゲン</t>
    </rPh>
    <rPh sb="6" eb="8">
      <t>ビコウ</t>
    </rPh>
    <rPh sb="8" eb="10">
      <t>イガイ</t>
    </rPh>
    <rPh sb="10" eb="12">
      <t>ニュウリョク</t>
    </rPh>
    <phoneticPr fontId="2"/>
  </si>
  <si>
    <t>数量と
備考以外入力</t>
    <rPh sb="0" eb="2">
      <t>スウリョウ</t>
    </rPh>
    <rPh sb="4" eb="6">
      <t>ビコウ</t>
    </rPh>
    <rPh sb="6" eb="8">
      <t>イガイ</t>
    </rPh>
    <rPh sb="8" eb="10">
      <t>ニュウリョク</t>
    </rPh>
    <phoneticPr fontId="2"/>
  </si>
  <si>
    <t>数量フィールド空欄</t>
    <rPh sb="0" eb="2">
      <t>スウリョウ</t>
    </rPh>
    <rPh sb="7" eb="9">
      <t>クウラン</t>
    </rPh>
    <phoneticPr fontId="2"/>
  </si>
  <si>
    <t>備考のみ入力</t>
    <rPh sb="0" eb="2">
      <t>ビコウ</t>
    </rPh>
    <rPh sb="4" eb="6">
      <t>ニュウリョク</t>
    </rPh>
    <phoneticPr fontId="2"/>
  </si>
  <si>
    <t>英数字や日本語で入力
例:Aaあ1</t>
    <rPh sb="11" eb="12">
      <t>レイ</t>
    </rPh>
    <phoneticPr fontId="2"/>
  </si>
  <si>
    <t>別フィールドにエラー表示</t>
    <rPh sb="0" eb="1">
      <t>ベツ</t>
    </rPh>
    <rPh sb="10" eb="12">
      <t>ヒョウジ</t>
    </rPh>
    <phoneticPr fontId="2"/>
  </si>
  <si>
    <t>すべての項目に正常値を入力</t>
    <rPh sb="4" eb="6">
      <t>コウモク</t>
    </rPh>
    <rPh sb="7" eb="10">
      <t>セイジョウチ</t>
    </rPh>
    <rPh sb="11" eb="13">
      <t>ニュウリョク</t>
    </rPh>
    <phoneticPr fontId="2"/>
  </si>
  <si>
    <t>例:&lt;A100&gt; &lt;はさみ&gt; &lt;事務用品&gt; &lt;10&gt; &lt;2026/5/18&gt; &lt;100&gt; &lt;test&gt;</t>
    <rPh sb="0" eb="1">
      <t>レイ</t>
    </rPh>
    <rPh sb="16" eb="20">
      <t>ジムヨウヒン</t>
    </rPh>
    <phoneticPr fontId="2"/>
  </si>
  <si>
    <t>在庫一覧に遷移
上部に登録完了のflashが表示される</t>
    <rPh sb="0" eb="4">
      <t>ザイコイチラン</t>
    </rPh>
    <rPh sb="5" eb="7">
      <t>センイ</t>
    </rPh>
    <rPh sb="8" eb="10">
      <t>ジョウブ</t>
    </rPh>
    <rPh sb="11" eb="13">
      <t>トウロク</t>
    </rPh>
    <rPh sb="13" eb="15">
      <t>カンリョウ</t>
    </rPh>
    <rPh sb="22" eb="24">
      <t>ヒョウジ</t>
    </rPh>
    <phoneticPr fontId="2"/>
  </si>
  <si>
    <t>商品コード重複</t>
    <rPh sb="0" eb="2">
      <t>ショウヒン</t>
    </rPh>
    <rPh sb="5" eb="7">
      <t>チョウフク</t>
    </rPh>
    <phoneticPr fontId="2"/>
  </si>
  <si>
    <t>上記と同じ情報を入力</t>
    <rPh sb="0" eb="2">
      <t>ジョウキ</t>
    </rPh>
    <rPh sb="3" eb="4">
      <t>オナ</t>
    </rPh>
    <rPh sb="5" eb="7">
      <t>ジョウホウ</t>
    </rPh>
    <rPh sb="8" eb="10">
      <t>ニュウリョク</t>
    </rPh>
    <phoneticPr fontId="2"/>
  </si>
  <si>
    <t>重複エラー表示</t>
    <rPh sb="0" eb="2">
      <t>チョウフク</t>
    </rPh>
    <rPh sb="5" eb="7">
      <t>ヒョウジ</t>
    </rPh>
    <phoneticPr fontId="2"/>
  </si>
  <si>
    <t>数量フィールド0入力</t>
    <rPh sb="0" eb="2">
      <t>スウリョウ</t>
    </rPh>
    <rPh sb="8" eb="10">
      <t>ニュウリョク</t>
    </rPh>
    <phoneticPr fontId="2"/>
  </si>
  <si>
    <t>入庫数量0だけどこのまま登録する？って確認表示される</t>
    <rPh sb="0" eb="3">
      <t>ニュウコスウ</t>
    </rPh>
    <rPh sb="3" eb="4">
      <t>リョウ</t>
    </rPh>
    <rPh sb="12" eb="14">
      <t>トウロク</t>
    </rPh>
    <rPh sb="19" eb="21">
      <t>カクニン</t>
    </rPh>
    <rPh sb="21" eb="23">
      <t>ヒョウジ</t>
    </rPh>
    <phoneticPr fontId="2"/>
  </si>
  <si>
    <t>確認表示　OKクリック</t>
    <rPh sb="0" eb="2">
      <t>カクニン</t>
    </rPh>
    <rPh sb="2" eb="4">
      <t>ヒョウジ</t>
    </rPh>
    <phoneticPr fontId="2"/>
  </si>
  <si>
    <t>登録完了(情報不備ない場合)</t>
    <rPh sb="5" eb="7">
      <t>ジョウホウ</t>
    </rPh>
    <rPh sb="7" eb="9">
      <t>フビ</t>
    </rPh>
    <rPh sb="11" eb="13">
      <t>バアイ</t>
    </rPh>
    <phoneticPr fontId="2"/>
  </si>
  <si>
    <t>確認表示　キャンセルクリック</t>
    <rPh sb="0" eb="2">
      <t>カクニン</t>
    </rPh>
    <rPh sb="2" eb="4">
      <t>ヒョウジ</t>
    </rPh>
    <phoneticPr fontId="2"/>
  </si>
  <si>
    <t>ボタン：商品URL</t>
    <rPh sb="4" eb="6">
      <t>ショウヒン</t>
    </rPh>
    <phoneticPr fontId="2"/>
  </si>
  <si>
    <t>在庫表詳細</t>
    <rPh sb="0" eb="3">
      <t>ザイコヒョウ</t>
    </rPh>
    <rPh sb="3" eb="5">
      <t>ショウサイ</t>
    </rPh>
    <phoneticPr fontId="2"/>
  </si>
  <si>
    <t>商品URLをクリック</t>
    <phoneticPr fontId="2"/>
  </si>
  <si>
    <t>在庫表詳細ページに遷移</t>
    <rPh sb="0" eb="3">
      <t>ザイコヒョウ</t>
    </rPh>
    <rPh sb="3" eb="5">
      <t>ショウサイ</t>
    </rPh>
    <rPh sb="9" eb="11">
      <t>センイ</t>
    </rPh>
    <phoneticPr fontId="2"/>
  </si>
  <si>
    <t>画面遷移</t>
    <rPh sb="0" eb="4">
      <t>ガメンセンイ</t>
    </rPh>
    <phoneticPr fontId="2"/>
  </si>
  <si>
    <t>表示</t>
    <rPh sb="0" eb="2">
      <t>ヒョウジ</t>
    </rPh>
    <phoneticPr fontId="2"/>
  </si>
  <si>
    <t>表示確認</t>
    <rPh sb="0" eb="2">
      <t>ヒョウジ</t>
    </rPh>
    <rPh sb="2" eb="4">
      <t>カクニン</t>
    </rPh>
    <phoneticPr fontId="2"/>
  </si>
  <si>
    <t>登録内容と相違なし</t>
    <rPh sb="0" eb="2">
      <t>トウロク</t>
    </rPh>
    <rPh sb="2" eb="4">
      <t>ナイヨウ</t>
    </rPh>
    <rPh sb="5" eb="7">
      <t>ソウイ</t>
    </rPh>
    <phoneticPr fontId="2"/>
  </si>
  <si>
    <t>本当に削除しますか？って確認表示</t>
    <rPh sb="0" eb="2">
      <t>ホントウ</t>
    </rPh>
    <rPh sb="3" eb="5">
      <t>サクジョ</t>
    </rPh>
    <rPh sb="12" eb="14">
      <t>カクニン</t>
    </rPh>
    <rPh sb="14" eb="16">
      <t>ヒョウジ</t>
    </rPh>
    <phoneticPr fontId="2"/>
  </si>
  <si>
    <t>在庫表削除</t>
    <rPh sb="0" eb="3">
      <t>ザイコヒョウ</t>
    </rPh>
    <rPh sb="3" eb="5">
      <t>サクジョ</t>
    </rPh>
    <phoneticPr fontId="2"/>
  </si>
  <si>
    <t>在庫表項目を目視
&lt;No&gt;&lt;日付&gt;&lt;種別&gt;&lt;数量&gt;&lt;在庫数&gt;&lt;入力者&gt;&lt;備考&gt;</t>
    <rPh sb="0" eb="3">
      <t>ザイコヒョウ</t>
    </rPh>
    <rPh sb="3" eb="5">
      <t>コウモク</t>
    </rPh>
    <rPh sb="6" eb="8">
      <t>モクシ</t>
    </rPh>
    <rPh sb="14" eb="16">
      <t>ヒヅケ</t>
    </rPh>
    <rPh sb="18" eb="20">
      <t>シュベツ</t>
    </rPh>
    <rPh sb="22" eb="24">
      <t>スウリョウ</t>
    </rPh>
    <rPh sb="26" eb="29">
      <t>ザイコスウ</t>
    </rPh>
    <rPh sb="31" eb="34">
      <t>ニュウリョクシャ</t>
    </rPh>
    <rPh sb="36" eb="38">
      <t>ビコウ</t>
    </rPh>
    <phoneticPr fontId="2"/>
  </si>
  <si>
    <t>ボタン：入出庫</t>
    <rPh sb="4" eb="7">
      <t>ニュウシュッコ</t>
    </rPh>
    <phoneticPr fontId="2"/>
  </si>
  <si>
    <t>入出庫ボタンをクリック</t>
    <rPh sb="0" eb="3">
      <t>ニュウシュッコ</t>
    </rPh>
    <phoneticPr fontId="2"/>
  </si>
  <si>
    <t>在庫入出庫ページに遷移</t>
    <rPh sb="0" eb="2">
      <t>ザイコ</t>
    </rPh>
    <rPh sb="2" eb="5">
      <t>ニュウシュッコ</t>
    </rPh>
    <rPh sb="9" eb="11">
      <t>センイ</t>
    </rPh>
    <phoneticPr fontId="2"/>
  </si>
  <si>
    <t>ボタン：詳細へ戻る</t>
    <rPh sb="4" eb="6">
      <t>ショウサイ</t>
    </rPh>
    <rPh sb="7" eb="8">
      <t>モド</t>
    </rPh>
    <phoneticPr fontId="2"/>
  </si>
  <si>
    <t>詳細へ戻るをクリック</t>
    <rPh sb="0" eb="2">
      <t>ショウサイ</t>
    </rPh>
    <rPh sb="3" eb="4">
      <t>モド</t>
    </rPh>
    <phoneticPr fontId="2"/>
  </si>
  <si>
    <t>在庫詳細ページに遷移</t>
    <rPh sb="0" eb="2">
      <t>ザイコ</t>
    </rPh>
    <rPh sb="2" eb="4">
      <t>ショウサイ</t>
    </rPh>
    <rPh sb="8" eb="10">
      <t>センイ</t>
    </rPh>
    <phoneticPr fontId="2"/>
  </si>
  <si>
    <t>新規作成ボタン</t>
    <rPh sb="0" eb="2">
      <t>シンキ</t>
    </rPh>
    <rPh sb="2" eb="4">
      <t>サクセイ</t>
    </rPh>
    <phoneticPr fontId="2"/>
  </si>
  <si>
    <t>日付入力</t>
    <rPh sb="0" eb="2">
      <t>ヒヅケ</t>
    </rPh>
    <rPh sb="2" eb="4">
      <t>ニュウリョク</t>
    </rPh>
    <phoneticPr fontId="2"/>
  </si>
  <si>
    <t>在庫登録完了し、ページ上部にflash表示</t>
    <rPh sb="6" eb="8">
      <t>ザイコ</t>
    </rPh>
    <rPh sb="19" eb="21">
      <t>ヒョウジトウロクカンリョウ</t>
    </rPh>
    <phoneticPr fontId="2"/>
  </si>
  <si>
    <t>種別選択</t>
    <rPh sb="0" eb="2">
      <t>シュベツ</t>
    </rPh>
    <rPh sb="2" eb="4">
      <t>センタク</t>
    </rPh>
    <phoneticPr fontId="2"/>
  </si>
  <si>
    <t>出庫選択</t>
    <rPh sb="0" eb="2">
      <t>シュッコ</t>
    </rPh>
    <rPh sb="2" eb="4">
      <t>センタク</t>
    </rPh>
    <phoneticPr fontId="2"/>
  </si>
  <si>
    <t>在庫登録完了し、ページ右部に出庫で登録</t>
    <rPh sb="6" eb="8">
      <t>ザイコ</t>
    </rPh>
    <rPh sb="11" eb="12">
      <t>ミギ</t>
    </rPh>
    <rPh sb="12" eb="13">
      <t>ブ</t>
    </rPh>
    <rPh sb="14" eb="16">
      <t>シュッコ</t>
    </rPh>
    <rPh sb="17" eb="19">
      <t>トウロクトウロクカンリョウ</t>
    </rPh>
    <phoneticPr fontId="2"/>
  </si>
  <si>
    <t>入庫選択</t>
    <rPh sb="0" eb="2">
      <t>ニュウコ</t>
    </rPh>
    <rPh sb="2" eb="4">
      <t>センタク</t>
    </rPh>
    <phoneticPr fontId="2"/>
  </si>
  <si>
    <t>在庫登録完了し、ページ右部に入庫で登録</t>
    <rPh sb="6" eb="8">
      <t>ザイコ</t>
    </rPh>
    <rPh sb="11" eb="12">
      <t>ミギ</t>
    </rPh>
    <rPh sb="12" eb="13">
      <t>ブ</t>
    </rPh>
    <rPh sb="14" eb="16">
      <t>ニュウコ</t>
    </rPh>
    <rPh sb="17" eb="19">
      <t>トウロクトウロクカンリョウ</t>
    </rPh>
    <phoneticPr fontId="2"/>
  </si>
  <si>
    <t>数量フィールドにエラー表示</t>
    <rPh sb="0" eb="2">
      <t>スウリョウ</t>
    </rPh>
    <rPh sb="11" eb="13">
      <t>ヒョウジ</t>
    </rPh>
    <phoneticPr fontId="2"/>
  </si>
  <si>
    <t>ボタン：グラフ</t>
    <phoneticPr fontId="2"/>
  </si>
  <si>
    <t>在庫入出庫</t>
    <rPh sb="0" eb="2">
      <t>ザイコ</t>
    </rPh>
    <rPh sb="2" eb="5">
      <t>ニュウシュッコ</t>
    </rPh>
    <phoneticPr fontId="2"/>
  </si>
  <si>
    <t>グラフボタンをクリック</t>
    <phoneticPr fontId="2"/>
  </si>
  <si>
    <t>グラフページに遷移</t>
    <rPh sb="7" eb="9">
      <t>センイ</t>
    </rPh>
    <phoneticPr fontId="2"/>
  </si>
  <si>
    <t>在庫グラフ</t>
    <rPh sb="0" eb="2">
      <t>ザイコ</t>
    </rPh>
    <phoneticPr fontId="2"/>
  </si>
  <si>
    <t>ボタン：棒グラフ</t>
    <rPh sb="4" eb="5">
      <t>ボウ</t>
    </rPh>
    <phoneticPr fontId="2"/>
  </si>
  <si>
    <t>ボタン：折れ線グラフ</t>
    <rPh sb="4" eb="5">
      <t>オ</t>
    </rPh>
    <rPh sb="6" eb="7">
      <t>セン</t>
    </rPh>
    <phoneticPr fontId="2"/>
  </si>
  <si>
    <t>ボタン：3Dグラフ</t>
    <phoneticPr fontId="2"/>
  </si>
  <si>
    <t>表示変更</t>
    <rPh sb="0" eb="2">
      <t>ヒョウジ</t>
    </rPh>
    <rPh sb="2" eb="4">
      <t>ヘンコウ</t>
    </rPh>
    <phoneticPr fontId="2"/>
  </si>
  <si>
    <t>棒グラフボタンをクリック</t>
    <rPh sb="0" eb="1">
      <t>ボウ</t>
    </rPh>
    <phoneticPr fontId="2"/>
  </si>
  <si>
    <t>折れ線グラフボタンをクリック</t>
    <rPh sb="0" eb="1">
      <t>オ</t>
    </rPh>
    <rPh sb="2" eb="3">
      <t>セン</t>
    </rPh>
    <phoneticPr fontId="2"/>
  </si>
  <si>
    <t>3Dグラフボタンをクリック</t>
    <phoneticPr fontId="2"/>
  </si>
  <si>
    <t>在庫登録に対応した棒グラフが表示</t>
    <rPh sb="0" eb="2">
      <t>ザイコ</t>
    </rPh>
    <rPh sb="2" eb="4">
      <t>トウロク</t>
    </rPh>
    <rPh sb="5" eb="7">
      <t>タイオウ</t>
    </rPh>
    <rPh sb="9" eb="10">
      <t>ボウ</t>
    </rPh>
    <rPh sb="14" eb="16">
      <t>ヒョウジ</t>
    </rPh>
    <phoneticPr fontId="2"/>
  </si>
  <si>
    <t>在庫登録に対応した折れ線グラフが表示</t>
    <rPh sb="0" eb="2">
      <t>ザイコ</t>
    </rPh>
    <rPh sb="2" eb="4">
      <t>トウロク</t>
    </rPh>
    <rPh sb="5" eb="7">
      <t>タイオウ</t>
    </rPh>
    <rPh sb="9" eb="10">
      <t>オ</t>
    </rPh>
    <rPh sb="11" eb="12">
      <t>セン</t>
    </rPh>
    <rPh sb="16" eb="18">
      <t>ヒョウジ</t>
    </rPh>
    <phoneticPr fontId="2"/>
  </si>
  <si>
    <t>在庫登録に対応した3Dグラフが表示</t>
    <rPh sb="0" eb="2">
      <t>ザイコ</t>
    </rPh>
    <rPh sb="2" eb="4">
      <t>トウロク</t>
    </rPh>
    <rPh sb="5" eb="7">
      <t>タイオウ</t>
    </rPh>
    <rPh sb="15" eb="17">
      <t>ヒョウジ</t>
    </rPh>
    <phoneticPr fontId="2"/>
  </si>
  <si>
    <t>登録ない場合、各項目の下に「なし」表示</t>
    <rPh sb="4" eb="6">
      <t>バアイ</t>
    </rPh>
    <rPh sb="7" eb="8">
      <t>カク</t>
    </rPh>
    <rPh sb="8" eb="10">
      <t>コウモク</t>
    </rPh>
    <rPh sb="11" eb="12">
      <t>シタ</t>
    </rPh>
    <rPh sb="17" eb="19">
      <t>ヒョウジ</t>
    </rPh>
    <phoneticPr fontId="2"/>
  </si>
  <si>
    <t>登録ある場合、各項目の下に&lt;商品名URL&gt;&lt;在庫数&gt;表示</t>
    <rPh sb="4" eb="6">
      <t>バアイ</t>
    </rPh>
    <rPh sb="7" eb="8">
      <t>カク</t>
    </rPh>
    <rPh sb="8" eb="10">
      <t>コウモク</t>
    </rPh>
    <rPh sb="11" eb="12">
      <t>シタ</t>
    </rPh>
    <rPh sb="14" eb="17">
      <t>ショウヒンメイ</t>
    </rPh>
    <rPh sb="22" eb="24">
      <t>ザイコ</t>
    </rPh>
    <rPh sb="24" eb="25">
      <t>スウ</t>
    </rPh>
    <rPh sb="26" eb="28">
      <t>ヒョウジ</t>
    </rPh>
    <phoneticPr fontId="2"/>
  </si>
  <si>
    <t>在庫項目　目視
&lt;日用品&gt;&lt;事務用品&gt;&lt;備品&gt;&lt;その他&gt;</t>
    <rPh sb="0" eb="2">
      <t>ザイコ</t>
    </rPh>
    <rPh sb="2" eb="4">
      <t>コウモク</t>
    </rPh>
    <rPh sb="5" eb="7">
      <t>モクシ</t>
    </rPh>
    <rPh sb="9" eb="12">
      <t>ニチヨウヒン</t>
    </rPh>
    <rPh sb="14" eb="18">
      <t>ジムヨウヒン</t>
    </rPh>
    <rPh sb="20" eb="22">
      <t>ビヒン</t>
    </rPh>
    <rPh sb="26" eb="27">
      <t>タ</t>
    </rPh>
    <phoneticPr fontId="2"/>
  </si>
  <si>
    <t>範囲1～10000以外入力</t>
    <rPh sb="0" eb="2">
      <t>ハンイ</t>
    </rPh>
    <rPh sb="9" eb="11">
      <t>イガイ</t>
    </rPh>
    <rPh sb="11" eb="13">
      <t>ニュウリョク</t>
    </rPh>
    <phoneticPr fontId="2"/>
  </si>
  <si>
    <t>数量入力</t>
    <rPh sb="0" eb="2">
      <t>スウリョウ</t>
    </rPh>
    <rPh sb="2" eb="4">
      <t>ニュウリョク</t>
    </rPh>
    <phoneticPr fontId="2"/>
  </si>
  <si>
    <t>0入力</t>
    <rPh sb="1" eb="3">
      <t>ニュウリョク</t>
    </rPh>
    <phoneticPr fontId="2"/>
  </si>
  <si>
    <t>エラー表示</t>
    <rPh sb="3" eb="5">
      <t>ヒョウジ</t>
    </rPh>
    <phoneticPr fontId="2"/>
  </si>
  <si>
    <t>表示確認</t>
    <rPh sb="0" eb="4">
      <t>ヒョウジカクニン</t>
    </rPh>
    <phoneticPr fontId="2"/>
  </si>
  <si>
    <t>【一般ユーザー】
商品コード/商品名/カテゴリのみ表示　目視</t>
    <rPh sb="1" eb="3">
      <t>イッパン</t>
    </rPh>
    <rPh sb="9" eb="11">
      <t>ショウヒン</t>
    </rPh>
    <rPh sb="15" eb="18">
      <t>ショウヒンメイ</t>
    </rPh>
    <rPh sb="25" eb="27">
      <t>ヒョウジ</t>
    </rPh>
    <rPh sb="28" eb="30">
      <t>モクシ</t>
    </rPh>
    <phoneticPr fontId="2"/>
  </si>
  <si>
    <t>【全ユーザー】在庫表項目を目視
&lt;No&gt;&lt;日付&gt;&lt;種別&gt;&lt;数量&gt;&lt;在庫数&gt;&lt;入力者&gt;&lt;備考&gt;</t>
    <rPh sb="1" eb="2">
      <t>ゼン</t>
    </rPh>
    <rPh sb="7" eb="10">
      <t>ザイコヒョウ</t>
    </rPh>
    <rPh sb="10" eb="12">
      <t>コウモク</t>
    </rPh>
    <rPh sb="13" eb="15">
      <t>モクシ</t>
    </rPh>
    <rPh sb="21" eb="23">
      <t>ヒヅケ</t>
    </rPh>
    <rPh sb="25" eb="27">
      <t>シュベツ</t>
    </rPh>
    <rPh sb="29" eb="31">
      <t>スウリョウ</t>
    </rPh>
    <rPh sb="33" eb="36">
      <t>ザイコスウ</t>
    </rPh>
    <rPh sb="38" eb="41">
      <t>ニュウリョクシャ</t>
    </rPh>
    <rPh sb="43" eb="45">
      <t>ビコウ</t>
    </rPh>
    <phoneticPr fontId="2"/>
  </si>
  <si>
    <t>【総務部】
下限数が追加表示　目視</t>
    <rPh sb="1" eb="4">
      <t>ソウムブ</t>
    </rPh>
    <rPh sb="6" eb="9">
      <t>カゲンスウ</t>
    </rPh>
    <rPh sb="11" eb="13">
      <t>モクシ</t>
    </rPh>
    <phoneticPr fontId="2"/>
  </si>
  <si>
    <t>【管理者】
削除ボタン追加表示　目視＆クリック</t>
    <rPh sb="6" eb="8">
      <t>サクジョ</t>
    </rPh>
    <phoneticPr fontId="2"/>
  </si>
  <si>
    <t>変更なく元の詳細画面表示</t>
    <rPh sb="0" eb="2">
      <t>ヘンコウ</t>
    </rPh>
    <rPh sb="4" eb="5">
      <t>モト</t>
    </rPh>
    <rPh sb="6" eb="8">
      <t>ショウサイ</t>
    </rPh>
    <rPh sb="8" eb="10">
      <t>ガメン</t>
    </rPh>
    <rPh sb="10" eb="12">
      <t>ヒョウジ</t>
    </rPh>
    <phoneticPr fontId="2"/>
  </si>
  <si>
    <t>入力内容保ったまま、元の画面表示</t>
    <rPh sb="0" eb="4">
      <t>ニュウリョクナイヨウ</t>
    </rPh>
    <rPh sb="4" eb="5">
      <t>タモ</t>
    </rPh>
    <rPh sb="10" eb="11">
      <t>モト</t>
    </rPh>
    <rPh sb="12" eb="14">
      <t>ガメン</t>
    </rPh>
    <rPh sb="14" eb="16">
      <t>ヒョウジ</t>
    </rPh>
    <phoneticPr fontId="2"/>
  </si>
  <si>
    <t>ボタン：Excel出力</t>
    <rPh sb="9" eb="11">
      <t>シュツリョク</t>
    </rPh>
    <phoneticPr fontId="2"/>
  </si>
  <si>
    <t>ファイル名入力(空のまま)</t>
    <rPh sb="4" eb="5">
      <t>メイ</t>
    </rPh>
    <rPh sb="5" eb="7">
      <t>ニュウリョク</t>
    </rPh>
    <rPh sb="8" eb="9">
      <t>カラ</t>
    </rPh>
    <phoneticPr fontId="2"/>
  </si>
  <si>
    <t>「商品名_当日日付」のファイル名で登録</t>
    <rPh sb="1" eb="4">
      <t>ショウヒンメイ</t>
    </rPh>
    <rPh sb="5" eb="7">
      <t>トウジツ</t>
    </rPh>
    <rPh sb="7" eb="9">
      <t>ヒヅケ</t>
    </rPh>
    <rPh sb="15" eb="16">
      <t>メイ</t>
    </rPh>
    <rPh sb="17" eb="19">
      <t>トウロク</t>
    </rPh>
    <phoneticPr fontId="2"/>
  </si>
  <si>
    <t>ファイル名入力(例:一旦出力)</t>
    <rPh sb="4" eb="5">
      <t>メイ</t>
    </rPh>
    <rPh sb="5" eb="7">
      <t>ニュウリョク</t>
    </rPh>
    <rPh sb="8" eb="9">
      <t>レイ</t>
    </rPh>
    <rPh sb="10" eb="12">
      <t>イッタン</t>
    </rPh>
    <rPh sb="12" eb="14">
      <t>シュツリョク</t>
    </rPh>
    <phoneticPr fontId="2"/>
  </si>
  <si>
    <t>「一旦出力」のファイル名で登録</t>
    <rPh sb="1" eb="3">
      <t>イッタン</t>
    </rPh>
    <rPh sb="3" eb="5">
      <t>シュツリョク</t>
    </rPh>
    <rPh sb="11" eb="12">
      <t>メイ</t>
    </rPh>
    <rPh sb="13" eb="15">
      <t>トウロク</t>
    </rPh>
    <phoneticPr fontId="2"/>
  </si>
  <si>
    <t>出力されたExcelファイルの内容　目視</t>
    <rPh sb="0" eb="2">
      <t>シュツリョク</t>
    </rPh>
    <rPh sb="15" eb="17">
      <t>ナイヨウ</t>
    </rPh>
    <rPh sb="18" eb="20">
      <t>モクシ</t>
    </rPh>
    <phoneticPr fontId="2"/>
  </si>
  <si>
    <t>255文字以上入力</t>
    <rPh sb="3" eb="5">
      <t>モジ</t>
    </rPh>
    <rPh sb="5" eb="7">
      <t>イジョウ</t>
    </rPh>
    <rPh sb="7" eb="9">
      <t>ニュウリョク</t>
    </rPh>
    <phoneticPr fontId="2"/>
  </si>
  <si>
    <t>備考入力</t>
    <rPh sb="0" eb="2">
      <t>ビコウ</t>
    </rPh>
    <rPh sb="2" eb="4">
      <t>ニュウリョク</t>
    </rPh>
    <phoneticPr fontId="2"/>
  </si>
  <si>
    <t>休憩</t>
    <rPh sb="0" eb="2">
      <t>キュウケイ</t>
    </rPh>
    <phoneticPr fontId="2"/>
  </si>
  <si>
    <t>Wiki検索ボタン(押下)</t>
    <rPh sb="4" eb="6">
      <t>ケンサク</t>
    </rPh>
    <rPh sb="10" eb="12">
      <t>オウカ</t>
    </rPh>
    <phoneticPr fontId="2"/>
  </si>
  <si>
    <t>登録ボタン(押下)</t>
    <rPh sb="0" eb="2">
      <t>トウロク</t>
    </rPh>
    <rPh sb="6" eb="8">
      <t>オウカ</t>
    </rPh>
    <phoneticPr fontId="2"/>
  </si>
  <si>
    <t>削除ボタン(押下)</t>
    <rPh sb="0" eb="2">
      <t>サクジョ</t>
    </rPh>
    <phoneticPr fontId="2"/>
  </si>
  <si>
    <t>検索ワード入力　例:Flask</t>
    <rPh sb="0" eb="2">
      <t>ケンサク</t>
    </rPh>
    <rPh sb="5" eb="7">
      <t>ニュウリョク</t>
    </rPh>
    <rPh sb="8" eb="9">
      <t>レイ</t>
    </rPh>
    <phoneticPr fontId="2"/>
  </si>
  <si>
    <t>検索結果表示</t>
    <rPh sb="0" eb="2">
      <t>ケンサク</t>
    </rPh>
    <rPh sb="2" eb="4">
      <t>ケッカ</t>
    </rPh>
    <rPh sb="4" eb="6">
      <t>ヒョウジ</t>
    </rPh>
    <phoneticPr fontId="2"/>
  </si>
  <si>
    <t>Read moreクリック</t>
    <phoneticPr fontId="2"/>
  </si>
  <si>
    <t>検索ワードのWikiページへ遷移</t>
    <rPh sb="0" eb="2">
      <t>ケンサク</t>
    </rPh>
    <rPh sb="14" eb="16">
      <t>センイ</t>
    </rPh>
    <phoneticPr fontId="2"/>
  </si>
  <si>
    <t>Wikipedia検索</t>
    <rPh sb="9" eb="11">
      <t>ケンサク</t>
    </rPh>
    <phoneticPr fontId="2"/>
  </si>
  <si>
    <t>戻るボタンクリック</t>
    <rPh sb="0" eb="1">
      <t>モド</t>
    </rPh>
    <phoneticPr fontId="2"/>
  </si>
  <si>
    <t>メニュー管理</t>
    <rPh sb="4" eb="6">
      <t>カンリ</t>
    </rPh>
    <phoneticPr fontId="2"/>
  </si>
  <si>
    <t>ナビゲーションバー</t>
  </si>
  <si>
    <t>5/14長沢チェック　多分ダブり</t>
    <rPh sb="4" eb="6">
      <t>ナガサワ</t>
    </rPh>
    <rPh sb="11" eb="13">
      <t>タブン</t>
    </rPh>
    <phoneticPr fontId="2"/>
  </si>
  <si>
    <t>タスク管理</t>
    <rPh sb="3" eb="5">
      <t>カンリ</t>
    </rPh>
    <phoneticPr fontId="2"/>
  </si>
  <si>
    <t>在庫管理</t>
    <rPh sb="0" eb="4">
      <t>ザイコカンリ</t>
    </rPh>
    <phoneticPr fontId="2"/>
  </si>
  <si>
    <t>タスク管理アイコンをクリック</t>
    <rPh sb="3" eb="5">
      <t>カンリ</t>
    </rPh>
    <phoneticPr fontId="2"/>
  </si>
  <si>
    <t>在庫管理アイコンをクリック</t>
    <rPh sb="0" eb="4">
      <t>ザイコカンリ</t>
    </rPh>
    <phoneticPr fontId="2"/>
  </si>
  <si>
    <t>Wikipedia検索アイコンをクリック</t>
    <rPh sb="9" eb="11">
      <t>ケンサク</t>
    </rPh>
    <phoneticPr fontId="2"/>
  </si>
  <si>
    <t>Wikipediaの検索ページに遷移</t>
    <rPh sb="10" eb="12">
      <t>ケンサク</t>
    </rPh>
    <rPh sb="16" eb="18">
      <t>センイ</t>
    </rPh>
    <phoneticPr fontId="2"/>
  </si>
  <si>
    <t>休憩アイコンをクリック</t>
    <rPh sb="0" eb="2">
      <t>キュウケイ</t>
    </rPh>
    <phoneticPr fontId="2"/>
  </si>
  <si>
    <t>タスク管理ページへ遷移</t>
    <rPh sb="3" eb="5">
      <t>カンリ</t>
    </rPh>
    <rPh sb="9" eb="11">
      <t>センイ</t>
    </rPh>
    <phoneticPr fontId="2"/>
  </si>
  <si>
    <t>在庫管理ページへ遷移</t>
    <rPh sb="0" eb="4">
      <t>ザイコカンリ</t>
    </rPh>
    <rPh sb="8" eb="10">
      <t>センイ</t>
    </rPh>
    <phoneticPr fontId="2"/>
  </si>
  <si>
    <t>Wikipedia検索ページへ遷移</t>
    <rPh sb="15" eb="17">
      <t>センイ</t>
    </rPh>
    <phoneticPr fontId="2"/>
  </si>
  <si>
    <t>休憩ページへ遷移</t>
    <rPh sb="0" eb="2">
      <t>キュウケイ</t>
    </rPh>
    <rPh sb="6" eb="8">
      <t>センイ</t>
    </rPh>
    <phoneticPr fontId="2"/>
  </si>
  <si>
    <t>トップ画面</t>
    <phoneticPr fontId="2"/>
  </si>
  <si>
    <t>天気</t>
    <rPh sb="0" eb="2">
      <t>テンキ</t>
    </rPh>
    <phoneticPr fontId="2"/>
  </si>
  <si>
    <t>NASA</t>
    <phoneticPr fontId="2"/>
  </si>
  <si>
    <t>天気へボタンをクリック</t>
    <rPh sb="0" eb="2">
      <t>テンキ</t>
    </rPh>
    <phoneticPr fontId="2"/>
  </si>
  <si>
    <t>NASAへボタンをクリック</t>
    <phoneticPr fontId="2"/>
  </si>
  <si>
    <t>動物園へボタンをクリック</t>
    <rPh sb="0" eb="3">
      <t>ドウブツエン</t>
    </rPh>
    <phoneticPr fontId="2"/>
  </si>
  <si>
    <t>ブロック崩しへボタンをクリック</t>
    <rPh sb="4" eb="5">
      <t>クズ</t>
    </rPh>
    <phoneticPr fontId="2"/>
  </si>
  <si>
    <t>休憩へボタンクリック</t>
    <rPh sb="0" eb="2">
      <t>キュウケイ</t>
    </rPh>
    <phoneticPr fontId="2"/>
  </si>
  <si>
    <t>天気ページへ遷移</t>
    <rPh sb="0" eb="2">
      <t>テンキ</t>
    </rPh>
    <rPh sb="6" eb="8">
      <t>センイ</t>
    </rPh>
    <phoneticPr fontId="2"/>
  </si>
  <si>
    <t>NASAページへ遷移</t>
    <rPh sb="8" eb="10">
      <t>センイ</t>
    </rPh>
    <phoneticPr fontId="2"/>
  </si>
  <si>
    <t>動物園動物園ページへ遷移</t>
    <rPh sb="0" eb="3">
      <t>ドウブツエン</t>
    </rPh>
    <phoneticPr fontId="2"/>
  </si>
  <si>
    <t>ブロック崩し画面が表示</t>
    <rPh sb="4" eb="5">
      <t>クズ</t>
    </rPh>
    <rPh sb="6" eb="8">
      <t>ガメン</t>
    </rPh>
    <rPh sb="9" eb="11">
      <t>ヒョウジ</t>
    </rPh>
    <phoneticPr fontId="2"/>
  </si>
  <si>
    <t>気温　目視</t>
    <rPh sb="0" eb="2">
      <t>キオン</t>
    </rPh>
    <rPh sb="3" eb="5">
      <t>モクシ</t>
    </rPh>
    <phoneticPr fontId="2"/>
  </si>
  <si>
    <t>iss位置 / NASA情報　目視</t>
    <rPh sb="3" eb="5">
      <t>イチ</t>
    </rPh>
    <rPh sb="12" eb="14">
      <t>ジョウホウ</t>
    </rPh>
    <rPh sb="15" eb="17">
      <t>モクシ</t>
    </rPh>
    <phoneticPr fontId="2"/>
  </si>
  <si>
    <t>galleryボタンをクリック</t>
    <phoneticPr fontId="2"/>
  </si>
  <si>
    <t>galleryページへ遷移</t>
    <rPh sb="11" eb="13">
      <t>センイ</t>
    </rPh>
    <phoneticPr fontId="2"/>
  </si>
  <si>
    <t>気温表示</t>
    <rPh sb="0" eb="2">
      <t>キオン</t>
    </rPh>
    <rPh sb="2" eb="4">
      <t>ヒョウジ</t>
    </rPh>
    <phoneticPr fontId="2"/>
  </si>
  <si>
    <t>位置や情報が表示</t>
    <rPh sb="0" eb="2">
      <t>イチ</t>
    </rPh>
    <rPh sb="3" eb="5">
      <t>ジョウホウ</t>
    </rPh>
    <rPh sb="6" eb="8">
      <t>ヒョウジ</t>
    </rPh>
    <phoneticPr fontId="2"/>
  </si>
  <si>
    <t>gallery</t>
    <phoneticPr fontId="2"/>
  </si>
  <si>
    <t>表示</t>
    <phoneticPr fontId="2"/>
  </si>
  <si>
    <t>キーワードボタン / 画像　目視</t>
    <rPh sb="11" eb="13">
      <t>ガゾウ</t>
    </rPh>
    <rPh sb="14" eb="16">
      <t>モクシ</t>
    </rPh>
    <phoneticPr fontId="2"/>
  </si>
  <si>
    <t>キーワードボタン / 画像　表示</t>
    <rPh sb="11" eb="13">
      <t>ガゾウ</t>
    </rPh>
    <rPh sb="14" eb="16">
      <t>ヒョウジ</t>
    </rPh>
    <phoneticPr fontId="2"/>
  </si>
  <si>
    <t>キーワードボタンクリックで画面変化</t>
    <rPh sb="13" eb="15">
      <t>ガメン</t>
    </rPh>
    <rPh sb="15" eb="17">
      <t>ヘンカ</t>
    </rPh>
    <phoneticPr fontId="2"/>
  </si>
  <si>
    <t>キーワードに対応した画像表示</t>
    <rPh sb="6" eb="8">
      <t>タイオウ</t>
    </rPh>
    <rPh sb="10" eb="12">
      <t>ガゾウ</t>
    </rPh>
    <rPh sb="12" eb="14">
      <t>ヒョウジ</t>
    </rPh>
    <phoneticPr fontId="2"/>
  </si>
  <si>
    <t>動物園</t>
    <rPh sb="0" eb="3">
      <t>ドウブツエン</t>
    </rPh>
    <phoneticPr fontId="2"/>
  </si>
  <si>
    <t>動物の画像表示　目視</t>
    <rPh sb="0" eb="2">
      <t>ドウブツ</t>
    </rPh>
    <rPh sb="3" eb="5">
      <t>ガゾウ</t>
    </rPh>
    <rPh sb="5" eb="7">
      <t>ヒョウジ</t>
    </rPh>
    <rPh sb="8" eb="10">
      <t>モクシ</t>
    </rPh>
    <phoneticPr fontId="2"/>
  </si>
  <si>
    <t>動物の画像がすべて表示されている</t>
    <rPh sb="0" eb="2">
      <t>ドウブツ</t>
    </rPh>
    <rPh sb="3" eb="5">
      <t>ガゾウ</t>
    </rPh>
    <rPh sb="9" eb="11">
      <t>ヒョウジ</t>
    </rPh>
    <phoneticPr fontId="2"/>
  </si>
  <si>
    <t>クリック</t>
    <phoneticPr fontId="2"/>
  </si>
  <si>
    <t>左右のクリックで対応の餌配置</t>
    <rPh sb="0" eb="2">
      <t>サユウ</t>
    </rPh>
    <rPh sb="8" eb="10">
      <t>タイオウ</t>
    </rPh>
    <rPh sb="11" eb="12">
      <t>エサ</t>
    </rPh>
    <rPh sb="12" eb="14">
      <t>ハイチ</t>
    </rPh>
    <phoneticPr fontId="2"/>
  </si>
  <si>
    <t>右→肉　左→りんご</t>
    <rPh sb="0" eb="1">
      <t>ミギ</t>
    </rPh>
    <rPh sb="2" eb="3">
      <t>ニク</t>
    </rPh>
    <rPh sb="4" eb="5">
      <t>ヒダリ</t>
    </rPh>
    <phoneticPr fontId="2"/>
  </si>
  <si>
    <t>ブロック崩し</t>
    <rPh sb="4" eb="5">
      <t>クズ</t>
    </rPh>
    <phoneticPr fontId="2"/>
  </si>
  <si>
    <t>ゲーム起動　目視</t>
    <rPh sb="3" eb="5">
      <t>キドウ</t>
    </rPh>
    <rPh sb="6" eb="8">
      <t>モクシ</t>
    </rPh>
    <phoneticPr fontId="2"/>
  </si>
  <si>
    <t>ゲームが別ウィンドウで起動</t>
    <rPh sb="4" eb="5">
      <t>ベツ</t>
    </rPh>
    <rPh sb="11" eb="13">
      <t>キドウ</t>
    </rPh>
    <phoneticPr fontId="2"/>
  </si>
  <si>
    <t>ゲーム実行</t>
    <rPh sb="3" eb="5">
      <t>ジッコウ</t>
    </rPh>
    <phoneticPr fontId="2"/>
  </si>
  <si>
    <t>ゲームやってみる</t>
    <phoneticPr fontId="2"/>
  </si>
  <si>
    <t>クリアやゲームオーバーが表示される</t>
    <rPh sb="12" eb="14">
      <t>ヒョウジ</t>
    </rPh>
    <phoneticPr fontId="2"/>
  </si>
  <si>
    <t>同上</t>
    <rPh sb="0" eb="2">
      <t>ドウジョウ</t>
    </rPh>
    <phoneticPr fontId="2"/>
  </si>
  <si>
    <t>管理者メニュー</t>
    <rPh sb="0" eb="3">
      <t>カンリシャ</t>
    </rPh>
    <phoneticPr fontId="2"/>
  </si>
  <si>
    <t>&lt;ユーザー名&gt;&lt;所属&gt;</t>
    <rPh sb="5" eb="6">
      <t>メイ</t>
    </rPh>
    <rPh sb="8" eb="10">
      <t>ショゾク</t>
    </rPh>
    <phoneticPr fontId="2"/>
  </si>
  <si>
    <t>&lt;ユーザー登録&gt;&lt;ユーザー削除&gt;&lt;グループ登録&gt;&lt;グループ編集/削除&gt;&lt;タスク登録&gt;&lt;タスク削除&gt;&lt;在庫表登録&gt;&lt;在庫表削除&gt;</t>
    <rPh sb="5" eb="7">
      <t>トウロク</t>
    </rPh>
    <rPh sb="13" eb="15">
      <t>サクジョ</t>
    </rPh>
    <rPh sb="21" eb="23">
      <t>トウロク</t>
    </rPh>
    <rPh sb="29" eb="31">
      <t>ヘンシュウ</t>
    </rPh>
    <rPh sb="32" eb="34">
      <t>サクジョ</t>
    </rPh>
    <rPh sb="39" eb="41">
      <t>トウロク</t>
    </rPh>
    <rPh sb="46" eb="48">
      <t>サクジョ</t>
    </rPh>
    <rPh sb="50" eb="52">
      <t>ザイコ</t>
    </rPh>
    <rPh sb="52" eb="53">
      <t>ヒョウ</t>
    </rPh>
    <rPh sb="53" eb="55">
      <t>トウロク</t>
    </rPh>
    <rPh sb="57" eb="60">
      <t>ザイコヒョウ</t>
    </rPh>
    <rPh sb="60" eb="62">
      <t>サクジョ</t>
    </rPh>
    <phoneticPr fontId="2"/>
  </si>
  <si>
    <t>各ページに遷移</t>
    <rPh sb="0" eb="1">
      <t>カク</t>
    </rPh>
    <rPh sb="5" eb="7">
      <t>センイ</t>
    </rPh>
    <phoneticPr fontId="2"/>
  </si>
  <si>
    <t>更新ボタン(押下)</t>
    <rPh sb="0" eb="2">
      <t>コウシン</t>
    </rPh>
    <rPh sb="6" eb="8">
      <t>オウカ</t>
    </rPh>
    <phoneticPr fontId="2"/>
  </si>
  <si>
    <t>&lt;ユーザー名&gt;&lt;所属&gt;&lt;性別&gt;</t>
    <rPh sb="5" eb="6">
      <t>メイ</t>
    </rPh>
    <rPh sb="8" eb="10">
      <t>ショゾク</t>
    </rPh>
    <rPh sb="12" eb="14">
      <t>セイベツ</t>
    </rPh>
    <phoneticPr fontId="2"/>
  </si>
  <si>
    <t>登録や更新が問題なくできる</t>
    <rPh sb="0" eb="2">
      <t>トウロク</t>
    </rPh>
    <rPh sb="3" eb="5">
      <t>コウシン</t>
    </rPh>
    <rPh sb="6" eb="8">
      <t>モンダイ</t>
    </rPh>
    <phoneticPr fontId="2"/>
  </si>
  <si>
    <t>ユーザー登録</t>
    <rPh sb="4" eb="6">
      <t>トウロク</t>
    </rPh>
    <phoneticPr fontId="2"/>
  </si>
  <si>
    <t>各ボタンクリック</t>
    <rPh sb="0" eb="1">
      <t>カク</t>
    </rPh>
    <phoneticPr fontId="2"/>
  </si>
  <si>
    <t>表記のページに遷移</t>
    <rPh sb="0" eb="2">
      <t>ヒョウキ</t>
    </rPh>
    <rPh sb="7" eb="9">
      <t>センイ</t>
    </rPh>
    <phoneticPr fontId="2"/>
  </si>
  <si>
    <t>各項目入力</t>
    <rPh sb="0" eb="3">
      <t>カクコウモク</t>
    </rPh>
    <rPh sb="3" eb="5">
      <t>ニュウリョク</t>
    </rPh>
    <phoneticPr fontId="2"/>
  </si>
  <si>
    <t>問題なく登録できる</t>
    <rPh sb="0" eb="2">
      <t>モンダイ</t>
    </rPh>
    <rPh sb="4" eb="6">
      <t>トウロク</t>
    </rPh>
    <phoneticPr fontId="2"/>
  </si>
  <si>
    <t>ユーザー削除</t>
    <rPh sb="4" eb="6">
      <t>サクジョ</t>
    </rPh>
    <phoneticPr fontId="2"/>
  </si>
  <si>
    <t>画面遷移</t>
    <rPh sb="0" eb="2">
      <t>ガメン</t>
    </rPh>
    <rPh sb="2" eb="4">
      <t>センイ</t>
    </rPh>
    <phoneticPr fontId="2"/>
  </si>
  <si>
    <t>管理者ページへ戻るボタンクリック</t>
    <rPh sb="0" eb="3">
      <t>カンリシャ</t>
    </rPh>
    <rPh sb="7" eb="8">
      <t>モド</t>
    </rPh>
    <phoneticPr fontId="2"/>
  </si>
  <si>
    <t>管理者ページへ遷移</t>
    <rPh sb="0" eb="3">
      <t>カンリシャ</t>
    </rPh>
    <rPh sb="7" eb="9">
      <t>センイ</t>
    </rPh>
    <phoneticPr fontId="2"/>
  </si>
  <si>
    <t>チェックボックス入れる</t>
    <rPh sb="8" eb="9">
      <t>イ</t>
    </rPh>
    <phoneticPr fontId="2"/>
  </si>
  <si>
    <t>選択したユーザー削除できる</t>
    <rPh sb="0" eb="2">
      <t>センタク</t>
    </rPh>
    <rPh sb="8" eb="10">
      <t>サクジョ</t>
    </rPh>
    <phoneticPr fontId="2"/>
  </si>
  <si>
    <t>グループ登録</t>
    <rPh sb="4" eb="6">
      <t>トウロク</t>
    </rPh>
    <phoneticPr fontId="2"/>
  </si>
  <si>
    <t>まとめて登録ボタン(押下)</t>
    <rPh sb="4" eb="6">
      <t>トウロク</t>
    </rPh>
    <phoneticPr fontId="2"/>
  </si>
  <si>
    <t>グループ登録ボタン(押下)</t>
    <rPh sb="4" eb="6">
      <t>トウロク</t>
    </rPh>
    <phoneticPr fontId="2"/>
  </si>
  <si>
    <t>ユーザー削除ボタン(押下)</t>
    <rPh sb="4" eb="6">
      <t>サクジョ</t>
    </rPh>
    <phoneticPr fontId="2"/>
  </si>
  <si>
    <t>グループ編集/削除</t>
    <rPh sb="4" eb="6">
      <t>ヘンシュウ</t>
    </rPh>
    <rPh sb="7" eb="9">
      <t>サクジョ</t>
    </rPh>
    <phoneticPr fontId="2"/>
  </si>
  <si>
    <t>グループ削除ボタン(押下)</t>
    <rPh sb="4" eb="6">
      <t>サクジョ</t>
    </rPh>
    <phoneticPr fontId="2"/>
  </si>
  <si>
    <t>グループ編集ボタン(押下)</t>
    <rPh sb="4" eb="6">
      <t>ヘンシュウ</t>
    </rPh>
    <phoneticPr fontId="2"/>
  </si>
  <si>
    <t>選択したユーザー編集できる</t>
    <rPh sb="0" eb="2">
      <t>センタク</t>
    </rPh>
    <rPh sb="8" eb="10">
      <t>ヘンシュウ</t>
    </rPh>
    <phoneticPr fontId="2"/>
  </si>
  <si>
    <t>タスク登録</t>
    <rPh sb="3" eb="5">
      <t>トウロク</t>
    </rPh>
    <phoneticPr fontId="2"/>
  </si>
  <si>
    <t>タスク削除</t>
    <rPh sb="3" eb="5">
      <t>サクジョ</t>
    </rPh>
    <phoneticPr fontId="2"/>
  </si>
  <si>
    <t>タスク削除ボタン(押下)</t>
    <rPh sb="3" eb="5">
      <t>サクジョ</t>
    </rPh>
    <phoneticPr fontId="2"/>
  </si>
  <si>
    <t>選択したタスク削除できる</t>
    <rPh sb="0" eb="2">
      <t>センタク</t>
    </rPh>
    <rPh sb="7" eb="9">
      <t>サクジョ</t>
    </rPh>
    <phoneticPr fontId="2"/>
  </si>
  <si>
    <t>在庫表登録</t>
    <rPh sb="0" eb="3">
      <t>ザイコヒョウ</t>
    </rPh>
    <rPh sb="3" eb="5">
      <t>トウロク</t>
    </rPh>
    <phoneticPr fontId="2"/>
  </si>
  <si>
    <t>在庫表削除ボタン(押下)</t>
    <rPh sb="0" eb="3">
      <t>ザイコヒョウ</t>
    </rPh>
    <rPh sb="3" eb="5">
      <t>サクジョ</t>
    </rPh>
    <phoneticPr fontId="2"/>
  </si>
  <si>
    <t>選択した在庫表削除できる</t>
    <rPh sb="0" eb="2">
      <t>センタク</t>
    </rPh>
    <rPh sb="4" eb="7">
      <t>ザイコヒョウ</t>
    </rPh>
    <rPh sb="7" eb="9">
      <t>サクジョ</t>
    </rPh>
    <phoneticPr fontId="2"/>
  </si>
  <si>
    <t>要対応(実行結果が△,×)</t>
    <rPh sb="0" eb="1">
      <t>ヨウ</t>
    </rPh>
    <rPh sb="1" eb="3">
      <t>タイオウ</t>
    </rPh>
    <rPh sb="4" eb="6">
      <t>ジッコウ</t>
    </rPh>
    <rPh sb="6" eb="8">
      <t>ケッカ</t>
    </rPh>
    <phoneticPr fontId="2"/>
  </si>
  <si>
    <t>サーバーPCに保存されるかも。クライアントPCに保存されない説(5/18長沢)</t>
    <phoneticPr fontId="2"/>
  </si>
  <si>
    <t>　→大丈夫だった。ExcelはクライアントPCブラウザにダウンロード(5/19長沢)</t>
    <rPh sb="2" eb="5">
      <t>ダイジョウブ</t>
    </rPh>
    <phoneticPr fontId="2"/>
  </si>
  <si>
    <t>英字の小文字は入力制限、数字のみは別フィールドにエラー表示(5と同結果)</t>
    <rPh sb="0" eb="2">
      <t>エイジ</t>
    </rPh>
    <rPh sb="3" eb="6">
      <t>コモジ</t>
    </rPh>
    <rPh sb="7" eb="11">
      <t>ニュウリョクセイゲン</t>
    </rPh>
    <rPh sb="12" eb="14">
      <t>スウジ</t>
    </rPh>
    <phoneticPr fontId="2"/>
  </si>
  <si>
    <t>〇</t>
    <phoneticPr fontId="2"/>
  </si>
  <si>
    <r>
      <t>エラー表示が「</t>
    </r>
    <r>
      <rPr>
        <sz val="11"/>
        <color rgb="FFFF0000"/>
        <rFont val="游ゴシック"/>
        <family val="3"/>
        <charset val="128"/>
        <scheme val="minor"/>
      </rPr>
      <t>0</t>
    </r>
    <r>
      <rPr>
        <sz val="11"/>
        <color theme="1"/>
        <rFont val="游ゴシック"/>
        <family val="2"/>
        <charset val="128"/>
        <scheme val="minor"/>
      </rPr>
      <t>～10000の範囲で入力してください」になってる(本来は1が正しい)</t>
    </r>
    <rPh sb="3" eb="5">
      <t>ヒョウジ</t>
    </rPh>
    <rPh sb="15" eb="17">
      <t>ハンイ</t>
    </rPh>
    <rPh sb="18" eb="20">
      <t>ニュウリョク</t>
    </rPh>
    <rPh sb="33" eb="35">
      <t>ホンライ</t>
    </rPh>
    <rPh sb="38" eb="39">
      <t>タダ</t>
    </rPh>
    <phoneticPr fontId="2"/>
  </si>
  <si>
    <r>
      <t>IntegrityError</t>
    </r>
    <r>
      <rPr>
        <sz val="11"/>
        <color rgb="FFFF0000"/>
        <rFont val="ＭＳ Ｐゴシック"/>
        <family val="2"/>
        <charset val="128"/>
      </rPr>
      <t>になって削除できない</t>
    </r>
    <rPh sb="18" eb="20">
      <t>サクジョ</t>
    </rPh>
    <phoneticPr fontId="2"/>
  </si>
  <si>
    <t>ユーザー登録、キャッシュが一行目に表示されない</t>
    <rPh sb="4" eb="6">
      <t>トウロク</t>
    </rPh>
    <rPh sb="13" eb="15">
      <t>イチギョウ</t>
    </rPh>
    <rPh sb="15" eb="16">
      <t>メ</t>
    </rPh>
    <rPh sb="17" eb="19">
      <t>ヒョウジ</t>
    </rPh>
    <phoneticPr fontId="2"/>
  </si>
  <si>
    <t>長沢</t>
  </si>
  <si>
    <t>パスワード入力</t>
    <rPh sb="5" eb="7">
      <t>ニュウリョク</t>
    </rPh>
    <phoneticPr fontId="2"/>
  </si>
  <si>
    <t>対応</t>
    <rPh sb="0" eb="2">
      <t>タイオウ</t>
    </rPh>
    <phoneticPr fontId="2"/>
  </si>
  <si>
    <t>Windows以外は左右クリック判定がないからりんごのみになると思う(5/19長沢)</t>
  </si>
  <si>
    <t>サーバーPCでしか起動できないから時間あったらFlask版に修正。無理ならゲーム削除予定(5/18長沢)</t>
    <phoneticPr fontId="2"/>
  </si>
  <si>
    <t>対応済確認　2026/5/22長沢</t>
    <rPh sb="0" eb="2">
      <t>タイオウ</t>
    </rPh>
    <rPh sb="2" eb="3">
      <t>ズ</t>
    </rPh>
    <rPh sb="3" eb="5">
      <t>カクニン</t>
    </rPh>
    <rPh sb="15" eb="17">
      <t>ナガサワ</t>
    </rPh>
    <phoneticPr fontId="2"/>
  </si>
  <si>
    <t>日付と担当者名もいれてほしい</t>
    <rPh sb="0" eb="2">
      <t>ヒヅケ</t>
    </rPh>
    <rPh sb="3" eb="7">
      <t>タントウシャメイ</t>
    </rPh>
    <phoneticPr fontId="2"/>
  </si>
  <si>
    <t>対応済確認　2026/5/22長沢</t>
    <rPh sb="0" eb="3">
      <t>タイオウズ</t>
    </rPh>
    <rPh sb="3" eb="5">
      <t>カクニン</t>
    </rPh>
    <rPh sb="15" eb="17">
      <t>ナガサワ</t>
    </rPh>
    <phoneticPr fontId="2"/>
  </si>
  <si>
    <t>テキスト入力</t>
    <rPh sb="4" eb="6">
      <t>ニュウリョク</t>
    </rPh>
    <phoneticPr fontId="2"/>
  </si>
  <si>
    <t>エラー表示で内容詳細や入力範囲でる</t>
    <rPh sb="3" eb="5">
      <t>ヒョウジ</t>
    </rPh>
    <rPh sb="6" eb="8">
      <t>ナイヨウ</t>
    </rPh>
    <rPh sb="8" eb="10">
      <t>ショウサイ</t>
    </rPh>
    <rPh sb="11" eb="13">
      <t>ニュウリョク</t>
    </rPh>
    <rPh sb="13" eb="15">
      <t>ハンイ</t>
    </rPh>
    <phoneticPr fontId="2"/>
  </si>
  <si>
    <t>今回時間なくて未対応</t>
    <rPh sb="0" eb="2">
      <t>コンカイ</t>
    </rPh>
    <rPh sb="2" eb="4">
      <t>ジカン</t>
    </rPh>
    <rPh sb="7" eb="10">
      <t>ミタイオウ</t>
    </rPh>
    <phoneticPr fontId="2"/>
  </si>
  <si>
    <t>今回時間なくて未対応
ブラウザのキャッシュに登録すると勝手に入力されて表示されるぽい</t>
    <rPh sb="0" eb="2">
      <t>コンカイ</t>
    </rPh>
    <rPh sb="2" eb="4">
      <t>ジカン</t>
    </rPh>
    <rPh sb="7" eb="10">
      <t>ミタイオウ</t>
    </rPh>
    <rPh sb="22" eb="24">
      <t>トウロク</t>
    </rPh>
    <rPh sb="27" eb="29">
      <t>カッテ</t>
    </rPh>
    <rPh sb="30" eb="32">
      <t>ニュウリョク</t>
    </rPh>
    <rPh sb="35" eb="37">
      <t>ヒョウジ</t>
    </rPh>
    <phoneticPr fontId="2"/>
  </si>
  <si>
    <t>文言が違うだけで動作OK　2026/5/22長沢</t>
    <rPh sb="0" eb="2">
      <t>モンゴン</t>
    </rPh>
    <rPh sb="3" eb="4">
      <t>チガ</t>
    </rPh>
    <rPh sb="8" eb="10">
      <t>ドウサ</t>
    </rPh>
    <rPh sb="22" eb="24">
      <t>ナガサワ</t>
    </rPh>
    <phoneticPr fontId="2"/>
  </si>
  <si>
    <t>20文字以内で入力制限
対応済確認　2026/5/22長沢</t>
    <rPh sb="2" eb="4">
      <t>モジ</t>
    </rPh>
    <rPh sb="4" eb="6">
      <t>イナイ</t>
    </rPh>
    <rPh sb="7" eb="11">
      <t>ニュウリョクセイゲン</t>
    </rPh>
    <rPh sb="12" eb="15">
      <t>タイオウズ</t>
    </rPh>
    <rPh sb="15" eb="17">
      <t>カクニン</t>
    </rPh>
    <rPh sb="27" eb="29">
      <t>ナガサワ</t>
    </rPh>
    <phoneticPr fontId="2"/>
  </si>
  <si>
    <t>10文字以内で入力制限
対応済確認　2026/5/22長沢</t>
    <rPh sb="2" eb="4">
      <t>モジ</t>
    </rPh>
    <rPh sb="4" eb="6">
      <t>イナイ</t>
    </rPh>
    <rPh sb="7" eb="11">
      <t>ニュウリョクセイゲン</t>
    </rPh>
    <rPh sb="12" eb="15">
      <t>タイオウズ</t>
    </rPh>
    <rPh sb="15" eb="17">
      <t>カクニン</t>
    </rPh>
    <rPh sb="27" eb="29">
      <t>ナガサワ</t>
    </rPh>
    <phoneticPr fontId="2"/>
  </si>
  <si>
    <t>入力後、ﾃｷｽﾄﾎﾞｯｸｽから ﾌｫｰｶｽ外して再度入力時でもパスワードの中身見れるアイコンが表示される</t>
    <rPh sb="0" eb="3">
      <t>ニュウリョクゴ</t>
    </rPh>
    <rPh sb="21" eb="22">
      <t>ハズ</t>
    </rPh>
    <rPh sb="24" eb="26">
      <t>サイド</t>
    </rPh>
    <rPh sb="27" eb="28">
      <t>ニュウリョク</t>
    </rPh>
    <rPh sb="28" eb="29">
      <t>ジ</t>
    </rPh>
    <rPh sb="37" eb="39">
      <t>ナカミ</t>
    </rPh>
    <rPh sb="39" eb="40">
      <t>ミ</t>
    </rPh>
    <rPh sb="47" eb="49">
      <t>ヒョウジ</t>
    </rPh>
    <phoneticPr fontId="2"/>
  </si>
  <si>
    <t>入力後、ﾃｷｽﾄﾎﾞｯｸｽから ﾌｫｰｶｽ外して再度入力時でもパスワードの中身見れるアイコンが表示される</t>
    <phoneticPr fontId="2"/>
  </si>
  <si>
    <t>長沢</t>
    <phoneticPr fontId="2"/>
  </si>
  <si>
    <t>ユーザーログイン</t>
    <phoneticPr fontId="2"/>
  </si>
  <si>
    <t>複数人同時ログイン</t>
    <rPh sb="0" eb="3">
      <t>フクスウニン</t>
    </rPh>
    <rPh sb="3" eb="5">
      <t>ドウジ</t>
    </rPh>
    <phoneticPr fontId="2"/>
  </si>
  <si>
    <t>問題なくログインできる</t>
    <rPh sb="0" eb="2">
      <t>モンダイ</t>
    </rPh>
    <phoneticPr fontId="2"/>
  </si>
  <si>
    <t>今回時間なくて未対応</t>
    <phoneticPr fontId="2"/>
  </si>
  <si>
    <t>2人でXREAとローカルログインチェック
同時にタスクなどの情報登録は未チェック
ローカルはMicrosoftDefenderファイアウォールをオフにするとつなげれる</t>
    <rPh sb="1" eb="2">
      <t>ニン</t>
    </rPh>
    <rPh sb="21" eb="23">
      <t>ドウジ</t>
    </rPh>
    <rPh sb="30" eb="32">
      <t>ジョウホウ</t>
    </rPh>
    <rPh sb="32" eb="34">
      <t>トウロク</t>
    </rPh>
    <rPh sb="35" eb="36">
      <t>ミ</t>
    </rPh>
    <phoneticPr fontId="2"/>
  </si>
  <si>
    <t>一括削除</t>
    <rPh sb="0" eb="4">
      <t>イッカツサクジョ</t>
    </rPh>
    <phoneticPr fontId="2"/>
  </si>
  <si>
    <t>なぜかエラーになる時ある。原因不明</t>
    <rPh sb="9" eb="10">
      <t>トキ</t>
    </rPh>
    <rPh sb="13" eb="15">
      <t>ゲンイン</t>
    </rPh>
    <rPh sb="15" eb="17">
      <t>フメイ</t>
    </rPh>
    <phoneticPr fontId="2"/>
  </si>
  <si>
    <t>チェックボックスにチェックいれて、削除ボタンで削除できる</t>
    <rPh sb="17" eb="19">
      <t>サクジョ</t>
    </rPh>
    <rPh sb="23" eb="25">
      <t>サクジョ</t>
    </rPh>
    <phoneticPr fontId="2"/>
  </si>
  <si>
    <t>グループ名20文字以上入力</t>
    <rPh sb="4" eb="5">
      <t>メイ</t>
    </rPh>
    <rPh sb="7" eb="11">
      <t>モジイジョウ</t>
    </rPh>
    <rPh sb="11" eb="13">
      <t>ニュウリョク</t>
    </rPh>
    <phoneticPr fontId="2"/>
  </si>
  <si>
    <t>エラーが出るが、画面下にImmutableMultiDictとか内容が表示されない</t>
    <rPh sb="4" eb="5">
      <t>デ</t>
    </rPh>
    <rPh sb="8" eb="10">
      <t>ガメン</t>
    </rPh>
    <rPh sb="10" eb="11">
      <t>シタ</t>
    </rPh>
    <rPh sb="32" eb="34">
      <t>ナイヨウ</t>
    </rPh>
    <rPh sb="35" eb="37">
      <t>ヒョウジ</t>
    </rPh>
    <phoneticPr fontId="2"/>
  </si>
  <si>
    <t>エラー表示でたあと画面更新すると入力がリフレッシュされる</t>
    <rPh sb="3" eb="5">
      <t>ヒョウジ</t>
    </rPh>
    <rPh sb="9" eb="11">
      <t>ガメン</t>
    </rPh>
    <rPh sb="11" eb="13">
      <t>コウシン</t>
    </rPh>
    <rPh sb="16" eb="18">
      <t>ニュウリョク</t>
    </rPh>
    <phoneticPr fontId="2"/>
  </si>
  <si>
    <t>エラーページ</t>
    <phoneticPr fontId="2"/>
  </si>
  <si>
    <t>ページ遷移などのエラー</t>
    <rPh sb="3" eb="5">
      <t>センイ</t>
    </rPh>
    <phoneticPr fontId="2"/>
  </si>
  <si>
    <t>期待するページに遷移できない場合、エラーページ表示させる</t>
    <rPh sb="0" eb="2">
      <t>キタイ</t>
    </rPh>
    <rPh sb="8" eb="10">
      <t>センイ</t>
    </rPh>
    <rPh sb="14" eb="16">
      <t>バアイ</t>
    </rPh>
    <rPh sb="23" eb="25">
      <t>ヒョウジ</t>
    </rPh>
    <phoneticPr fontId="2"/>
  </si>
  <si>
    <t>入力制限貫通しない</t>
    <rPh sb="4" eb="6">
      <t>カンツウ</t>
    </rPh>
    <phoneticPr fontId="2"/>
  </si>
  <si>
    <t>今回時間なくて未対応
Flask+WTForms+JSで丁寧に制限できるかも</t>
    <rPh sb="28" eb="30">
      <t>テイネイ</t>
    </rPh>
    <rPh sb="31" eb="33">
      <t>セイゲン</t>
    </rPh>
    <phoneticPr fontId="2"/>
  </si>
  <si>
    <t>動作確認済　2026/5/23長沢</t>
    <rPh sb="0" eb="4">
      <t>ドウサカクニン</t>
    </rPh>
    <rPh sb="4" eb="5">
      <t>ズ</t>
    </rPh>
    <rPh sb="15" eb="17">
      <t>ナガサワ</t>
    </rPh>
    <phoneticPr fontId="2"/>
  </si>
  <si>
    <t>今回時間なくて未対応
Flask側のredirectとhtml変更すればリフレッシュできそう</t>
    <rPh sb="16" eb="17">
      <t>ガワ</t>
    </rPh>
    <rPh sb="31" eb="33">
      <t>ヘンコウ</t>
    </rPh>
    <phoneticPr fontId="2"/>
  </si>
  <si>
    <t>IMEが最終状態を維持してるぽい
フォーカス時、大文字英語になればな～
htmlとjsでコード入れてるけど効いてない
ブラウザやOSの種類によって違いあるかも</t>
    <rPh sb="4" eb="6">
      <t>サイシュウ</t>
    </rPh>
    <rPh sb="6" eb="8">
      <t>ジョウタイ</t>
    </rPh>
    <rPh sb="9" eb="11">
      <t>イジ</t>
    </rPh>
    <rPh sb="22" eb="23">
      <t>トキ</t>
    </rPh>
    <rPh sb="24" eb="27">
      <t>オオモジ</t>
    </rPh>
    <rPh sb="27" eb="29">
      <t>エイゴ</t>
    </rPh>
    <rPh sb="47" eb="48">
      <t>イ</t>
    </rPh>
    <rPh sb="53" eb="54">
      <t>キ</t>
    </rPh>
    <rPh sb="67" eb="69">
      <t>シュルイ</t>
    </rPh>
    <rPh sb="73" eb="74">
      <t>チガ</t>
    </rPh>
    <phoneticPr fontId="2"/>
  </si>
  <si>
    <t>英数字入力したいテキストボックスでIMEで初期設定が大文字英語</t>
    <rPh sb="0" eb="3">
      <t>エイスウジ</t>
    </rPh>
    <rPh sb="3" eb="5">
      <t>ニュウリョク</t>
    </rPh>
    <rPh sb="21" eb="23">
      <t>ショキ</t>
    </rPh>
    <rPh sb="23" eb="25">
      <t>セッテイ</t>
    </rPh>
    <rPh sb="26" eb="29">
      <t>オオモジ</t>
    </rPh>
    <phoneticPr fontId="2"/>
  </si>
  <si>
    <t>管理者権限</t>
    <rPh sb="0" eb="3">
      <t>カンリシャ</t>
    </rPh>
    <rPh sb="3" eb="5">
      <t>ケンゲン</t>
    </rPh>
    <phoneticPr fontId="2"/>
  </si>
  <si>
    <t>管理者権限の付与ができる</t>
    <rPh sb="0" eb="5">
      <t>カンリシャケンゲン</t>
    </rPh>
    <rPh sb="6" eb="8">
      <t>フヨ</t>
    </rPh>
    <phoneticPr fontId="2"/>
  </si>
  <si>
    <t>今回時間なくて未対応
user_id==1のみ管理者権限あるが、本当はroleなどで複数人に付与したかった</t>
    <rPh sb="7" eb="10">
      <t>ミタイオウ</t>
    </rPh>
    <rPh sb="23" eb="26">
      <t>カンリシャ</t>
    </rPh>
    <rPh sb="26" eb="28">
      <t>ケンゲン</t>
    </rPh>
    <rPh sb="32" eb="34">
      <t>ホントウ</t>
    </rPh>
    <rPh sb="42" eb="45">
      <t>フクスウニン</t>
    </rPh>
    <rPh sb="46" eb="48">
      <t>フヨ</t>
    </rPh>
    <phoneticPr fontId="2"/>
  </si>
  <si>
    <t>今回時間なくて未対応
ローカルの場合表示されないのでCGIが原因の模様</t>
    <rPh sb="30" eb="32">
      <t>ゲンイン</t>
    </rPh>
    <rPh sb="33" eb="35">
      <t>モヨウ</t>
    </rPh>
    <phoneticPr fontId="2"/>
  </si>
  <si>
    <t>今回時間なくて未対応
光沢さんが登録した2件だけ削除できない｡その後登録したものは削除できた。
その前に登録していたものも削除できたので理由不明</t>
    <rPh sb="11" eb="13">
      <t>コウザワ</t>
    </rPh>
    <rPh sb="16" eb="18">
      <t>トウロク</t>
    </rPh>
    <rPh sb="21" eb="22">
      <t>ケン</t>
    </rPh>
    <rPh sb="24" eb="26">
      <t>サクジョ</t>
    </rPh>
    <rPh sb="33" eb="34">
      <t>ゴ</t>
    </rPh>
    <rPh sb="34" eb="36">
      <t>トウロク</t>
    </rPh>
    <rPh sb="41" eb="43">
      <t>サクジョ</t>
    </rPh>
    <rPh sb="50" eb="51">
      <t>マエ</t>
    </rPh>
    <rPh sb="52" eb="54">
      <t>トウロク</t>
    </rPh>
    <rPh sb="61" eb="63">
      <t>サクジョ</t>
    </rPh>
    <rPh sb="68" eb="70">
      <t>リユウ</t>
    </rPh>
    <rPh sb="70" eb="72">
      <t>フメイ</t>
    </rPh>
    <phoneticPr fontId="2"/>
  </si>
  <si>
    <t>画面表示</t>
    <rPh sb="0" eb="4">
      <t>ガメンヒョウジ</t>
    </rPh>
    <phoneticPr fontId="2"/>
  </si>
  <si>
    <t>iPhoneでの表示画面チェック</t>
    <rPh sb="8" eb="10">
      <t>ヒョウジ</t>
    </rPh>
    <rPh sb="10" eb="12">
      <t>ガメン</t>
    </rPh>
    <phoneticPr fontId="2"/>
  </si>
  <si>
    <t>対応できてるところと、未対応の場所バラバラ</t>
    <rPh sb="0" eb="2">
      <t>タイオウ</t>
    </rPh>
    <rPh sb="11" eb="14">
      <t>ミタイオウ</t>
    </rPh>
    <rPh sb="15" eb="17">
      <t>バショ</t>
    </rPh>
    <phoneticPr fontId="2"/>
  </si>
  <si>
    <t>レンタルサーバーでも問題なく表示</t>
    <rPh sb="10" eb="12">
      <t>モンダイ</t>
    </rPh>
    <rPh sb="14" eb="16">
      <t>ヒョウジ</t>
    </rPh>
    <phoneticPr fontId="2"/>
  </si>
  <si>
    <t>今回時間なくて未対応
XREAがCGIしか対応しておらず、ローカルはWSGIで確認OK
レンタルサーバーの挙動が遅く、ほとんどテストできてない</t>
    <rPh sb="21" eb="23">
      <t>タイオウ</t>
    </rPh>
    <rPh sb="39" eb="41">
      <t>カクニン</t>
    </rPh>
    <rPh sb="53" eb="55">
      <t>キョドウ</t>
    </rPh>
    <rPh sb="56" eb="57">
      <t>オソ</t>
    </rPh>
    <phoneticPr fontId="2"/>
  </si>
  <si>
    <t>スマホの場合、画面長押しで右クリックらしい(斉藤さんしらべ)2026/5/22長沢</t>
    <rPh sb="4" eb="6">
      <t>バアイ</t>
    </rPh>
    <rPh sb="7" eb="9">
      <t>ガメン</t>
    </rPh>
    <rPh sb="9" eb="11">
      <t>ナガオ</t>
    </rPh>
    <rPh sb="13" eb="14">
      <t>ミギ</t>
    </rPh>
    <rPh sb="22" eb="24">
      <t>サイトウ</t>
    </rPh>
    <rPh sb="39" eb="41">
      <t>ナガサワ</t>
    </rPh>
    <phoneticPr fontId="2"/>
  </si>
  <si>
    <t>API</t>
    <phoneticPr fontId="2"/>
  </si>
  <si>
    <t>キャッシュ追加で速度向上</t>
    <rPh sb="5" eb="7">
      <t>ツイカ</t>
    </rPh>
    <rPh sb="8" eb="10">
      <t>ソクド</t>
    </rPh>
    <rPh sb="10" eb="12">
      <t>コウジョウ</t>
    </rPh>
    <phoneticPr fontId="2"/>
  </si>
  <si>
    <t>今回時間なくて未対応
天気、NASA、WikiなどAPIのキャッシュ保存できたら速度早くなるかも。pipであるぽい</t>
    <rPh sb="0" eb="2">
      <t>コンカイ</t>
    </rPh>
    <rPh sb="2" eb="4">
      <t>ジカン</t>
    </rPh>
    <rPh sb="7" eb="10">
      <t>ミタイオウ</t>
    </rPh>
    <rPh sb="11" eb="13">
      <t>テンキ</t>
    </rPh>
    <rPh sb="34" eb="36">
      <t>ホゾン</t>
    </rPh>
    <rPh sb="40" eb="42">
      <t>ソクド</t>
    </rPh>
    <rPh sb="42" eb="43">
      <t>ハヤ</t>
    </rPh>
    <phoneticPr fontId="2"/>
  </si>
  <si>
    <t>在庫数</t>
    <rPh sb="0" eb="3">
      <t>ザイコスウ</t>
    </rPh>
    <phoneticPr fontId="2"/>
  </si>
  <si>
    <t>今回時間なくて未対応
マイナス対応と0入力が拮抗
在庫0で出庫しようとすると数量に1入れた場合、フォーカス外すと0になったり1になったりする</t>
    <rPh sb="15" eb="17">
      <t>タイオウ</t>
    </rPh>
    <rPh sb="19" eb="21">
      <t>ニュウリョク</t>
    </rPh>
    <rPh sb="22" eb="24">
      <t>キッコウ</t>
    </rPh>
    <rPh sb="25" eb="27">
      <t>ザイコ</t>
    </rPh>
    <rPh sb="29" eb="31">
      <t>シュッコ</t>
    </rPh>
    <rPh sb="38" eb="40">
      <t>スウリョウ</t>
    </rPh>
    <rPh sb="42" eb="43">
      <t>イ</t>
    </rPh>
    <rPh sb="45" eb="47">
      <t>バアイ</t>
    </rPh>
    <rPh sb="53" eb="54">
      <t>ハズ</t>
    </rPh>
    <phoneticPr fontId="2"/>
  </si>
  <si>
    <t>今回時間なくて未対応
存在しないページへは対応できたけど、想定外のエラーが対応できてないかも</t>
    <rPh sb="11" eb="13">
      <t>ソンザイ</t>
    </rPh>
    <rPh sb="21" eb="23">
      <t>タイオウ</t>
    </rPh>
    <rPh sb="29" eb="32">
      <t>ソウテイガイ</t>
    </rPh>
    <rPh sb="37" eb="39">
      <t>タイオウ</t>
    </rPh>
    <phoneticPr fontId="2"/>
  </si>
  <si>
    <t>ユーザー登録画面(管理者メニューではなく)で登録したユーザー削除できる</t>
    <rPh sb="4" eb="6">
      <t>トウロク</t>
    </rPh>
    <rPh sb="6" eb="8">
      <t>ガメン</t>
    </rPh>
    <rPh sb="9" eb="12">
      <t>カンリシャ</t>
    </rPh>
    <rPh sb="22" eb="24">
      <t>トウロク</t>
    </rPh>
    <rPh sb="30" eb="32">
      <t>サクジョ</t>
    </rPh>
    <phoneticPr fontId="2"/>
  </si>
  <si>
    <t>今回時間なくて未対応
在庫管理を追加したユーザーが消せない状態。
入力者でFK使ってるかも。けどユーザー消しても入力者の名前は残しときたいからそういうコーディングに変えたらできるのかも</t>
    <rPh sb="11" eb="15">
      <t>ザイコカンリ</t>
    </rPh>
    <rPh sb="16" eb="18">
      <t>ツイカ</t>
    </rPh>
    <rPh sb="25" eb="26">
      <t>ケ</t>
    </rPh>
    <rPh sb="29" eb="31">
      <t>ジョウタイ</t>
    </rPh>
    <rPh sb="33" eb="36">
      <t>ニュウリョクシャ</t>
    </rPh>
    <rPh sb="39" eb="40">
      <t>ツカ</t>
    </rPh>
    <rPh sb="52" eb="53">
      <t>ケ</t>
    </rPh>
    <rPh sb="56" eb="59">
      <t>ニュウリョクシャ</t>
    </rPh>
    <rPh sb="60" eb="62">
      <t>ナマエ</t>
    </rPh>
    <rPh sb="63" eb="64">
      <t>ノコ</t>
    </rPh>
    <rPh sb="82" eb="83">
      <t>カ</t>
    </rPh>
    <phoneticPr fontId="2"/>
  </si>
  <si>
    <t>5/14長沢確認OK　未着手から完了に文言変更</t>
    <phoneticPr fontId="2"/>
  </si>
  <si>
    <t>iPhoneでの動作チェック</t>
    <rPh sb="8" eb="10">
      <t>ドウサ</t>
    </rPh>
    <phoneticPr fontId="2"/>
  </si>
  <si>
    <t>今回時間なくて未対応
XREAサーバーだとiPhoneでブロック崩しのボタンが反応しなかった</t>
    <rPh sb="32" eb="33">
      <t>クズ</t>
    </rPh>
    <rPh sb="39" eb="41">
      <t>ハンノウ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</si>
</sst>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u/>
      <sz val="11"/>
      <color theme="1"/>
      <name val="游ゴシック"/>
      <family val="3"/>
      <charset val="128"/>
      <scheme val="minor"/>
    </font>
    <font>
      <sz val="11"/>
      <name val="游ゴシック"/>
      <family val="3"/>
      <charset val="128"/>
      <scheme val="minor"/>
    </font>
    <font>
      <sz val="11"/>
      <color rgb="FFFF0000"/>
      <name val="游ゴシック"/>
      <family val="3"/>
      <charset val="128"/>
      <scheme val="minor"/>
    </font>
    <font>
      <b/>
      <sz val="11"/>
      <color rgb="FFFF0000"/>
      <name val="游ゴシック"/>
      <family val="3"/>
      <charset val="128"/>
      <scheme val="minor"/>
    </font>
    <font>
      <sz val="11"/>
      <color rgb="FF0070C0"/>
      <name val="游ゴシック"/>
      <family val="2"/>
      <charset val="128"/>
      <scheme val="minor"/>
    </font>
    <font>
      <sz val="11"/>
      <color rgb="FF0070C0"/>
      <name val="游ゴシック"/>
      <family val="3"/>
      <charset val="128"/>
      <scheme val="minor"/>
    </font>
    <font>
      <sz val="11"/>
      <color rgb="FFFF0000"/>
      <name val="Arial"/>
      <family val="2"/>
    </font>
    <font>
      <sz val="11"/>
      <color rgb="FFFF0000"/>
      <name val="ＭＳ Ｐゴシック"/>
      <family val="2"/>
      <charset val="128"/>
    </font>
  </fonts>
  <fills count="1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9" tint="0.79998168889431442"/>
        <bgColor indexed="64"/>
      </patternFill>
    </fill>
  </fills>
  <borders count="3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right style="thin">
        <color auto="1"/>
      </right>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top style="thin">
        <color indexed="64"/>
      </top>
      <bottom style="thin">
        <color indexed="64"/>
      </bottom>
      <diagonal/>
    </border>
    <border>
      <left style="thin">
        <color auto="1"/>
      </left>
      <right/>
      <top style="thin">
        <color auto="1"/>
      </top>
      <bottom/>
      <diagonal/>
    </border>
    <border>
      <left style="thin">
        <color auto="1"/>
      </left>
      <right/>
      <top style="medium">
        <color auto="1"/>
      </top>
      <bottom style="medium">
        <color auto="1"/>
      </bottom>
      <diagonal/>
    </border>
    <border>
      <left style="thin">
        <color auto="1"/>
      </left>
      <right/>
      <top/>
      <bottom style="thin">
        <color auto="1"/>
      </bottom>
      <diagonal/>
    </border>
    <border>
      <left style="medium">
        <color auto="1"/>
      </left>
      <right/>
      <top/>
      <bottom style="thin">
        <color auto="1"/>
      </bottom>
      <diagonal/>
    </border>
    <border>
      <left/>
      <right/>
      <top style="medium">
        <color auto="1"/>
      </top>
      <bottom style="thin">
        <color auto="1"/>
      </bottom>
      <diagonal/>
    </border>
    <border>
      <left/>
      <right/>
      <top/>
      <bottom style="dotted">
        <color indexed="64"/>
      </bottom>
      <diagonal/>
    </border>
    <border>
      <left style="dotted">
        <color indexed="64"/>
      </left>
      <right style="dotted">
        <color indexed="64"/>
      </right>
      <top style="dotted">
        <color indexed="64"/>
      </top>
      <bottom style="dotted">
        <color indexed="64"/>
      </bottom>
      <diagonal/>
    </border>
    <border>
      <left/>
      <right style="thin">
        <color auto="1"/>
      </right>
      <top/>
      <bottom/>
      <diagonal/>
    </border>
    <border>
      <left style="thin">
        <color auto="1"/>
      </left>
      <right style="thin">
        <color auto="1"/>
      </right>
      <top/>
      <bottom/>
      <diagonal/>
    </border>
    <border>
      <left style="medium">
        <color indexed="64"/>
      </left>
      <right/>
      <top/>
      <bottom style="medium">
        <color indexed="64"/>
      </bottom>
      <diagonal/>
    </border>
  </borders>
  <cellStyleXfs count="1">
    <xf numFmtId="0" fontId="0" fillId="0" borderId="0">
      <alignment vertical="center"/>
    </xf>
  </cellStyleXfs>
  <cellXfs count="138">
    <xf numFmtId="0" fontId="0" fillId="0" borderId="0" xfId="0">
      <alignment vertical="center"/>
    </xf>
    <xf numFmtId="0" fontId="0" fillId="2" borderId="0" xfId="0" applyFill="1" applyAlignment="1">
      <alignment vertical="center" wrapText="1"/>
    </xf>
    <xf numFmtId="0" fontId="0" fillId="2" borderId="0" xfId="0" applyFill="1">
      <alignment vertical="center"/>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5" xfId="0" applyFill="1"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0" fillId="2" borderId="8" xfId="0" applyFill="1" applyBorder="1" applyAlignment="1">
      <alignment vertical="center" wrapText="1"/>
    </xf>
    <xf numFmtId="0" fontId="0" fillId="2" borderId="9" xfId="0" applyFill="1" applyBorder="1" applyAlignment="1">
      <alignment vertical="center" wrapText="1"/>
    </xf>
    <xf numFmtId="0" fontId="3" fillId="2" borderId="5" xfId="0" applyFont="1" applyFill="1" applyBorder="1" applyAlignment="1">
      <alignment vertical="center" wrapText="1"/>
    </xf>
    <xf numFmtId="0" fontId="0" fillId="2" borderId="10" xfId="0" applyFill="1" applyBorder="1" applyAlignment="1">
      <alignment vertical="center" wrapText="1"/>
    </xf>
    <xf numFmtId="0" fontId="1" fillId="2" borderId="8" xfId="0" applyFont="1" applyFill="1" applyBorder="1" applyAlignment="1">
      <alignment vertical="center" wrapText="1"/>
    </xf>
    <xf numFmtId="0" fontId="6" fillId="2" borderId="8" xfId="0" applyFont="1" applyFill="1" applyBorder="1" applyAlignment="1">
      <alignment vertical="center" wrapText="1"/>
    </xf>
    <xf numFmtId="0" fontId="3" fillId="2" borderId="2" xfId="0" applyFont="1" applyFill="1" applyBorder="1" applyAlignment="1">
      <alignment vertical="center" wrapText="1"/>
    </xf>
    <xf numFmtId="0" fontId="3" fillId="2" borderId="8" xfId="0" applyFont="1" applyFill="1" applyBorder="1" applyAlignment="1">
      <alignment vertical="center" wrapText="1"/>
    </xf>
    <xf numFmtId="0" fontId="0" fillId="2" borderId="11" xfId="0" applyFill="1" applyBorder="1" applyAlignment="1">
      <alignment vertical="center" wrapText="1"/>
    </xf>
    <xf numFmtId="0" fontId="3" fillId="2" borderId="11" xfId="0" applyFont="1" applyFill="1" applyBorder="1" applyAlignment="1">
      <alignment vertical="center" wrapText="1"/>
    </xf>
    <xf numFmtId="0" fontId="0" fillId="2" borderId="12" xfId="0" applyFill="1" applyBorder="1" applyAlignment="1">
      <alignment vertical="center" wrapText="1"/>
    </xf>
    <xf numFmtId="0" fontId="3" fillId="2" borderId="12" xfId="0" applyFont="1" applyFill="1" applyBorder="1" applyAlignment="1">
      <alignment vertical="center" wrapText="1"/>
    </xf>
    <xf numFmtId="0" fontId="5" fillId="2" borderId="8" xfId="0" applyFont="1" applyFill="1" applyBorder="1" applyAlignment="1">
      <alignment vertical="center" wrapText="1"/>
    </xf>
    <xf numFmtId="0" fontId="5" fillId="2" borderId="11" xfId="0" applyFont="1" applyFill="1" applyBorder="1" applyAlignment="1">
      <alignment vertical="center" wrapText="1"/>
    </xf>
    <xf numFmtId="0" fontId="5" fillId="2" borderId="2" xfId="0" applyFont="1" applyFill="1" applyBorder="1" applyAlignment="1">
      <alignment vertical="center" wrapText="1"/>
    </xf>
    <xf numFmtId="0" fontId="5" fillId="2" borderId="5" xfId="0" applyFont="1" applyFill="1" applyBorder="1" applyAlignment="1">
      <alignment vertical="center" wrapText="1"/>
    </xf>
    <xf numFmtId="0" fontId="0" fillId="2" borderId="13" xfId="0" applyFill="1" applyBorder="1" applyAlignment="1">
      <alignment vertical="center" wrapText="1"/>
    </xf>
    <xf numFmtId="0" fontId="5" fillId="2" borderId="13" xfId="0" applyFont="1" applyFill="1" applyBorder="1" applyAlignment="1">
      <alignment vertical="center" wrapText="1"/>
    </xf>
    <xf numFmtId="0" fontId="3" fillId="2" borderId="13" xfId="0" applyFont="1" applyFill="1" applyBorder="1" applyAlignment="1">
      <alignment vertical="center" wrapText="1"/>
    </xf>
    <xf numFmtId="0" fontId="0" fillId="2" borderId="14" xfId="0" applyFill="1" applyBorder="1" applyAlignment="1">
      <alignment vertical="center" wrapText="1"/>
    </xf>
    <xf numFmtId="0" fontId="0" fillId="2" borderId="15" xfId="0" applyFill="1" applyBorder="1" applyAlignment="1">
      <alignment vertical="center" wrapText="1"/>
    </xf>
    <xf numFmtId="0" fontId="0" fillId="2" borderId="20" xfId="0" applyFill="1" applyBorder="1" applyAlignment="1">
      <alignment vertical="center" wrapText="1"/>
    </xf>
    <xf numFmtId="0" fontId="0" fillId="2" borderId="21" xfId="0" applyFill="1" applyBorder="1" applyAlignment="1">
      <alignment vertical="center" wrapText="1"/>
    </xf>
    <xf numFmtId="0" fontId="0" fillId="2" borderId="22" xfId="0" applyFill="1" applyBorder="1" applyAlignment="1">
      <alignment vertical="center" wrapText="1"/>
    </xf>
    <xf numFmtId="0" fontId="3" fillId="2" borderId="21" xfId="0" applyFont="1" applyFill="1" applyBorder="1" applyAlignment="1">
      <alignment vertical="center" wrapText="1"/>
    </xf>
    <xf numFmtId="0" fontId="3" fillId="2" borderId="20" xfId="0" applyFont="1" applyFill="1" applyBorder="1" applyAlignment="1">
      <alignment vertical="center" wrapText="1"/>
    </xf>
    <xf numFmtId="0" fontId="6" fillId="2" borderId="22" xfId="0" applyFont="1" applyFill="1" applyBorder="1" applyAlignment="1">
      <alignment vertical="center" wrapText="1"/>
    </xf>
    <xf numFmtId="0" fontId="3" fillId="2" borderId="22" xfId="0" applyFont="1" applyFill="1" applyBorder="1" applyAlignment="1">
      <alignment vertical="center" wrapText="1"/>
    </xf>
    <xf numFmtId="0" fontId="3" fillId="2" borderId="23" xfId="0" applyFont="1" applyFill="1" applyBorder="1" applyAlignment="1">
      <alignment vertical="center" wrapText="1"/>
    </xf>
    <xf numFmtId="0" fontId="3" fillId="2" borderId="24" xfId="0" applyFont="1" applyFill="1" applyBorder="1" applyAlignment="1">
      <alignment vertical="center" wrapText="1"/>
    </xf>
    <xf numFmtId="0" fontId="0" fillId="2" borderId="23" xfId="0" applyFill="1" applyBorder="1" applyAlignment="1">
      <alignment vertical="center" wrapText="1"/>
    </xf>
    <xf numFmtId="0" fontId="3" fillId="2" borderId="25" xfId="0" applyFont="1" applyFill="1" applyBorder="1" applyAlignment="1">
      <alignment vertical="center" wrapText="1"/>
    </xf>
    <xf numFmtId="0" fontId="0" fillId="0" borderId="26" xfId="0" applyBorder="1" applyAlignment="1">
      <alignment vertical="center" wrapText="1"/>
    </xf>
    <xf numFmtId="0" fontId="0" fillId="0" borderId="16" xfId="0"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2" xfId="0" applyBorder="1" applyAlignment="1">
      <alignment horizontal="center" vertical="center" wrapText="1"/>
    </xf>
    <xf numFmtId="0" fontId="0" fillId="0" borderId="19" xfId="0" applyBorder="1" applyAlignment="1">
      <alignment horizontal="center" vertical="center" wrapText="1"/>
    </xf>
    <xf numFmtId="0" fontId="0" fillId="0" borderId="14" xfId="0" applyBorder="1" applyAlignment="1">
      <alignment horizontal="center" vertical="center" wrapText="1"/>
    </xf>
    <xf numFmtId="0" fontId="0" fillId="2" borderId="16"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21" xfId="0" applyFill="1" applyBorder="1" applyAlignment="1">
      <alignment horizontal="center" vertical="center" wrapText="1"/>
    </xf>
    <xf numFmtId="14" fontId="0" fillId="2" borderId="20" xfId="0" applyNumberFormat="1" applyFill="1" applyBorder="1" applyAlignment="1">
      <alignment horizontal="center" vertical="center" wrapText="1"/>
    </xf>
    <xf numFmtId="14" fontId="0" fillId="2" borderId="21" xfId="0" applyNumberFormat="1" applyFill="1" applyBorder="1" applyAlignment="1">
      <alignment horizontal="center" vertical="center" wrapText="1"/>
    </xf>
    <xf numFmtId="0" fontId="3" fillId="2" borderId="20"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0" fillId="2" borderId="22" xfId="0" applyFill="1" applyBorder="1" applyAlignment="1">
      <alignment horizontal="left" vertical="center" wrapText="1"/>
    </xf>
    <xf numFmtId="0" fontId="0" fillId="2" borderId="21" xfId="0" applyFill="1" applyBorder="1" applyAlignment="1">
      <alignment horizontal="left" vertical="center" wrapText="1"/>
    </xf>
    <xf numFmtId="0" fontId="0" fillId="2" borderId="20" xfId="0" applyFill="1" applyBorder="1" applyAlignment="1">
      <alignment horizontal="left" vertical="center" wrapText="1"/>
    </xf>
    <xf numFmtId="0" fontId="3" fillId="2" borderId="21" xfId="0" applyFont="1" applyFill="1" applyBorder="1" applyAlignment="1">
      <alignment horizontal="left" vertical="center" wrapText="1"/>
    </xf>
    <xf numFmtId="0" fontId="0" fillId="2" borderId="23" xfId="0" applyFill="1" applyBorder="1" applyAlignment="1">
      <alignment horizontal="left" vertical="center" wrapText="1"/>
    </xf>
    <xf numFmtId="0" fontId="3" fillId="2" borderId="24" xfId="0" applyFont="1" applyFill="1" applyBorder="1" applyAlignment="1">
      <alignment horizontal="left" vertical="center" wrapText="1"/>
    </xf>
    <xf numFmtId="14" fontId="3" fillId="2" borderId="20" xfId="0" applyNumberFormat="1" applyFont="1" applyFill="1" applyBorder="1" applyAlignment="1">
      <alignment horizontal="center" vertical="center" wrapText="1"/>
    </xf>
    <xf numFmtId="14" fontId="3" fillId="2" borderId="22" xfId="0" applyNumberFormat="1" applyFont="1" applyFill="1" applyBorder="1" applyAlignment="1">
      <alignment horizontal="center" vertical="center" wrapText="1"/>
    </xf>
    <xf numFmtId="14" fontId="0" fillId="2" borderId="22" xfId="0" applyNumberFormat="1" applyFill="1" applyBorder="1" applyAlignment="1">
      <alignment horizontal="center" vertical="center" wrapText="1"/>
    </xf>
    <xf numFmtId="14" fontId="0" fillId="2" borderId="23" xfId="0" applyNumberFormat="1" applyFill="1" applyBorder="1" applyAlignment="1">
      <alignment horizontal="center" vertical="center" wrapText="1"/>
    </xf>
    <xf numFmtId="14" fontId="3" fillId="2" borderId="21" xfId="0" applyNumberFormat="1" applyFont="1" applyFill="1" applyBorder="1" applyAlignment="1">
      <alignment horizontal="center" vertical="center" wrapText="1"/>
    </xf>
    <xf numFmtId="14" fontId="3" fillId="2" borderId="24" xfId="0" applyNumberFormat="1" applyFont="1" applyFill="1" applyBorder="1" applyAlignment="1">
      <alignment horizontal="center" vertical="center" wrapText="1"/>
    </xf>
    <xf numFmtId="0" fontId="0" fillId="0" borderId="22" xfId="0" applyBorder="1" applyAlignment="1">
      <alignment horizontal="left" vertical="center" wrapText="1"/>
    </xf>
    <xf numFmtId="0" fontId="0" fillId="0" borderId="21" xfId="0" applyBorder="1" applyAlignment="1">
      <alignment horizontal="left" vertical="center" wrapText="1"/>
    </xf>
    <xf numFmtId="0" fontId="0" fillId="0" borderId="20" xfId="0" applyBorder="1" applyAlignment="1">
      <alignment horizontal="left" vertical="center" wrapText="1"/>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0" fillId="2" borderId="0" xfId="0" applyFill="1" applyAlignment="1">
      <alignment horizontal="left" vertical="center" wrapText="1"/>
    </xf>
    <xf numFmtId="0" fontId="3" fillId="2" borderId="23" xfId="0" applyFont="1" applyFill="1" applyBorder="1" applyAlignment="1">
      <alignment horizontal="left" vertical="center" wrapText="1"/>
    </xf>
    <xf numFmtId="0" fontId="3" fillId="2" borderId="25" xfId="0" applyFont="1" applyFill="1" applyBorder="1" applyAlignment="1">
      <alignment horizontal="left" vertical="center" wrapText="1"/>
    </xf>
    <xf numFmtId="0" fontId="5" fillId="2" borderId="22" xfId="0" applyFont="1" applyFill="1" applyBorder="1" applyAlignment="1">
      <alignment horizontal="left" vertical="center" wrapText="1"/>
    </xf>
    <xf numFmtId="0" fontId="0" fillId="4" borderId="8" xfId="0" applyFill="1" applyBorder="1" applyAlignment="1">
      <alignment vertical="center" wrapText="1"/>
    </xf>
    <xf numFmtId="0" fontId="0" fillId="4" borderId="22" xfId="0" applyFill="1" applyBorder="1" applyAlignment="1">
      <alignment vertical="center" wrapText="1"/>
    </xf>
    <xf numFmtId="0" fontId="0" fillId="4" borderId="22" xfId="0" applyFill="1" applyBorder="1" applyAlignment="1">
      <alignment horizontal="left" vertical="center" wrapText="1"/>
    </xf>
    <xf numFmtId="0" fontId="0" fillId="4" borderId="22" xfId="0" applyFill="1" applyBorder="1" applyAlignment="1">
      <alignment horizontal="center" vertical="center" wrapText="1"/>
    </xf>
    <xf numFmtId="0" fontId="0" fillId="4" borderId="0" xfId="0" applyFill="1" applyAlignment="1">
      <alignment vertical="center" wrapText="1"/>
    </xf>
    <xf numFmtId="0" fontId="0" fillId="4" borderId="0" xfId="0" applyFill="1">
      <alignment vertical="center"/>
    </xf>
    <xf numFmtId="14" fontId="5" fillId="2" borderId="22" xfId="0" applyNumberFormat="1" applyFont="1" applyFill="1" applyBorder="1" applyAlignment="1">
      <alignment horizontal="center" vertical="center" wrapText="1"/>
    </xf>
    <xf numFmtId="14" fontId="5" fillId="2" borderId="23" xfId="0" applyNumberFormat="1" applyFont="1" applyFill="1" applyBorder="1" applyAlignment="1">
      <alignment horizontal="center" vertical="center" wrapText="1"/>
    </xf>
    <xf numFmtId="14" fontId="5" fillId="2" borderId="2" xfId="0" applyNumberFormat="1" applyFont="1" applyFill="1" applyBorder="1" applyAlignment="1">
      <alignment horizontal="center" vertical="center" wrapText="1"/>
    </xf>
    <xf numFmtId="14" fontId="5" fillId="2" borderId="25" xfId="0" applyNumberFormat="1" applyFont="1" applyFill="1" applyBorder="1" applyAlignment="1">
      <alignment horizontal="center" vertical="center" wrapText="1"/>
    </xf>
    <xf numFmtId="14" fontId="5" fillId="2" borderId="12" xfId="0" applyNumberFormat="1" applyFont="1" applyFill="1" applyBorder="1" applyAlignment="1">
      <alignment horizontal="center" vertical="center" wrapText="1"/>
    </xf>
    <xf numFmtId="0" fontId="0" fillId="2" borderId="8" xfId="0" applyFill="1" applyBorder="1" applyAlignment="1">
      <alignment horizontal="center" vertical="center" wrapText="1"/>
    </xf>
    <xf numFmtId="0" fontId="0" fillId="3" borderId="8" xfId="0" applyFill="1" applyBorder="1" applyAlignment="1">
      <alignment vertical="center" wrapText="1"/>
    </xf>
    <xf numFmtId="0" fontId="0" fillId="5" borderId="8" xfId="0" applyFill="1" applyBorder="1" applyAlignment="1">
      <alignment vertical="center" wrapText="1"/>
    </xf>
    <xf numFmtId="0" fontId="0" fillId="6" borderId="8" xfId="0" applyFill="1" applyBorder="1" applyAlignment="1">
      <alignment vertical="center" wrapText="1"/>
    </xf>
    <xf numFmtId="0" fontId="0" fillId="2" borderId="18" xfId="0" applyFill="1" applyBorder="1" applyAlignment="1">
      <alignment horizontal="center" vertical="center" wrapText="1"/>
    </xf>
    <xf numFmtId="0" fontId="0" fillId="2" borderId="28" xfId="0" applyFill="1" applyBorder="1" applyAlignment="1">
      <alignment vertical="center" wrapText="1"/>
    </xf>
    <xf numFmtId="0" fontId="0" fillId="2" borderId="29" xfId="0" applyFill="1" applyBorder="1" applyAlignment="1">
      <alignment vertical="center" wrapText="1"/>
    </xf>
    <xf numFmtId="0" fontId="0" fillId="8" borderId="8" xfId="0" applyFill="1" applyBorder="1" applyAlignment="1">
      <alignment vertical="center" wrapText="1"/>
    </xf>
    <xf numFmtId="0" fontId="0" fillId="8" borderId="22" xfId="0" applyFill="1" applyBorder="1" applyAlignment="1">
      <alignment vertical="center" wrapText="1"/>
    </xf>
    <xf numFmtId="0" fontId="0" fillId="8" borderId="22" xfId="0" applyFill="1" applyBorder="1" applyAlignment="1">
      <alignment horizontal="left" vertical="center" wrapText="1"/>
    </xf>
    <xf numFmtId="0" fontId="0" fillId="5" borderId="22" xfId="0" applyFill="1" applyBorder="1" applyAlignment="1">
      <alignment horizontal="left" vertical="center" wrapText="1"/>
    </xf>
    <xf numFmtId="0" fontId="0" fillId="9" borderId="8" xfId="0" applyFill="1" applyBorder="1" applyAlignment="1">
      <alignment vertical="center" wrapText="1"/>
    </xf>
    <xf numFmtId="0" fontId="0" fillId="9" borderId="22" xfId="0" applyFill="1" applyBorder="1" applyAlignment="1">
      <alignment horizontal="left" vertical="center" wrapText="1"/>
    </xf>
    <xf numFmtId="0" fontId="0" fillId="5" borderId="11" xfId="0" applyFill="1" applyBorder="1" applyAlignment="1">
      <alignment vertical="center" wrapText="1"/>
    </xf>
    <xf numFmtId="0" fontId="0" fillId="5" borderId="23" xfId="0" applyFill="1" applyBorder="1" applyAlignment="1">
      <alignment vertical="center" wrapText="1"/>
    </xf>
    <xf numFmtId="0" fontId="0" fillId="8" borderId="11" xfId="0" applyFill="1" applyBorder="1" applyAlignment="1">
      <alignment vertical="center" wrapText="1"/>
    </xf>
    <xf numFmtId="0" fontId="0" fillId="9" borderId="11" xfId="0" applyFill="1" applyBorder="1" applyAlignment="1">
      <alignment vertical="center" wrapText="1"/>
    </xf>
    <xf numFmtId="0" fontId="1" fillId="2" borderId="0" xfId="0" applyFont="1" applyFill="1" applyAlignment="1">
      <alignment vertical="center" wrapText="1"/>
    </xf>
    <xf numFmtId="0" fontId="0" fillId="0" borderId="8" xfId="0" applyBorder="1" applyAlignment="1">
      <alignment vertical="center" wrapText="1"/>
    </xf>
    <xf numFmtId="0" fontId="1" fillId="2" borderId="0" xfId="0" applyFont="1" applyFill="1">
      <alignment vertical="center"/>
    </xf>
    <xf numFmtId="0" fontId="0" fillId="0" borderId="0" xfId="0" applyAlignment="1">
      <alignment vertical="center" wrapText="1"/>
    </xf>
    <xf numFmtId="0" fontId="0" fillId="2" borderId="13" xfId="0" applyFill="1" applyBorder="1" applyAlignment="1">
      <alignment horizontal="center" vertical="center" wrapText="1"/>
    </xf>
    <xf numFmtId="0" fontId="0" fillId="2" borderId="11" xfId="0" applyFill="1" applyBorder="1" applyAlignment="1">
      <alignment horizontal="center" vertical="center" wrapText="1"/>
    </xf>
    <xf numFmtId="14" fontId="0" fillId="0" borderId="22" xfId="0" applyNumberFormat="1" applyBorder="1" applyAlignment="1">
      <alignment horizontal="center" vertical="center" wrapText="1"/>
    </xf>
    <xf numFmtId="0" fontId="0" fillId="2" borderId="24" xfId="0" applyFill="1" applyBorder="1" applyAlignment="1">
      <alignment vertical="center" wrapText="1"/>
    </xf>
    <xf numFmtId="0" fontId="0" fillId="2" borderId="25" xfId="0" applyFill="1" applyBorder="1" applyAlignment="1">
      <alignment vertical="center" wrapText="1"/>
    </xf>
    <xf numFmtId="0" fontId="10" fillId="0" borderId="22" xfId="0" applyFont="1" applyBorder="1" applyAlignment="1">
      <alignment horizontal="left" vertical="center" wrapText="1"/>
    </xf>
    <xf numFmtId="14" fontId="3" fillId="2" borderId="25" xfId="0" applyNumberFormat="1" applyFont="1" applyFill="1" applyBorder="1" applyAlignment="1">
      <alignment horizontal="center" vertical="center" wrapText="1"/>
    </xf>
    <xf numFmtId="0" fontId="0" fillId="2" borderId="30" xfId="0" applyFill="1" applyBorder="1" applyAlignment="1">
      <alignment horizontal="center" vertical="center" wrapText="1"/>
    </xf>
    <xf numFmtId="0" fontId="0" fillId="2" borderId="31" xfId="0" applyFill="1" applyBorder="1" applyAlignment="1">
      <alignment vertical="center" wrapText="1"/>
    </xf>
    <xf numFmtId="0" fontId="3" fillId="2" borderId="31" xfId="0" applyFont="1" applyFill="1" applyBorder="1" applyAlignment="1">
      <alignment vertical="center" wrapText="1"/>
    </xf>
    <xf numFmtId="0" fontId="0" fillId="2" borderId="25" xfId="0" applyFill="1" applyBorder="1" applyAlignment="1">
      <alignment horizontal="left" vertical="center" wrapText="1"/>
    </xf>
    <xf numFmtId="14" fontId="0" fillId="2" borderId="25" xfId="0" applyNumberFormat="1" applyFill="1" applyBorder="1" applyAlignment="1">
      <alignment horizontal="center" vertical="center" wrapText="1"/>
    </xf>
    <xf numFmtId="0" fontId="8" fillId="2" borderId="22" xfId="0" applyFont="1" applyFill="1" applyBorder="1" applyAlignment="1">
      <alignment vertical="center" wrapText="1"/>
    </xf>
    <xf numFmtId="0" fontId="9" fillId="2" borderId="22" xfId="0" applyFont="1" applyFill="1" applyBorder="1" applyAlignment="1">
      <alignment vertical="center" wrapText="1"/>
    </xf>
    <xf numFmtId="0" fontId="8" fillId="2" borderId="8" xfId="0" applyFont="1" applyFill="1" applyBorder="1" applyAlignment="1">
      <alignment vertical="center" wrapText="1"/>
    </xf>
    <xf numFmtId="0" fontId="9" fillId="2" borderId="8" xfId="0" applyFont="1" applyFill="1" applyBorder="1" applyAlignment="1">
      <alignment vertical="center" wrapText="1"/>
    </xf>
    <xf numFmtId="0" fontId="0" fillId="0" borderId="32" xfId="0" applyBorder="1" applyAlignment="1">
      <alignment vertical="center" wrapText="1"/>
    </xf>
    <xf numFmtId="0" fontId="1" fillId="2" borderId="22" xfId="0" applyFont="1" applyFill="1" applyBorder="1" applyAlignment="1">
      <alignment vertical="center" wrapText="1"/>
    </xf>
    <xf numFmtId="0" fontId="5" fillId="2" borderId="22" xfId="0" applyFont="1" applyFill="1" applyBorder="1" applyAlignment="1">
      <alignment vertical="center" wrapText="1"/>
    </xf>
    <xf numFmtId="0" fontId="0" fillId="7" borderId="25" xfId="0" applyFill="1" applyBorder="1" applyAlignment="1">
      <alignment horizontal="left" vertical="center" wrapText="1"/>
    </xf>
    <xf numFmtId="0" fontId="0" fillId="0" borderId="23" xfId="0" applyBorder="1" applyAlignment="1">
      <alignment horizontal="left" vertical="center" wrapText="1"/>
    </xf>
    <xf numFmtId="0" fontId="0" fillId="2" borderId="2"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14" xfId="0" applyFill="1" applyBorder="1" applyAlignment="1">
      <alignment horizontal="center" vertical="center" wrapText="1"/>
    </xf>
  </cellXfs>
  <cellStyles count="1">
    <cellStyle name="標準" xfId="0" builtinId="0"/>
  </cellStyles>
  <dxfs count="30">
    <dxf>
      <fill>
        <patternFill>
          <bgColor theme="9"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00B0F0"/>
        </patternFill>
      </fill>
    </dxf>
    <dxf>
      <fill>
        <patternFill>
          <bgColor rgb="FF00B050"/>
        </patternFill>
      </fill>
    </dxf>
    <dxf>
      <fill>
        <patternFill>
          <bgColor rgb="FFFFC000"/>
        </patternFill>
      </fill>
    </dxf>
    <dxf>
      <font>
        <b val="0"/>
        <i val="0"/>
        <color auto="1"/>
      </font>
      <fill>
        <patternFill>
          <bgColor rgb="FFFF0000"/>
        </patternFill>
      </fill>
    </dxf>
    <dxf>
      <fill>
        <patternFill>
          <bgColor rgb="FFFFFF00"/>
        </patternFill>
      </fill>
    </dxf>
    <dxf>
      <fill>
        <patternFill>
          <bgColor rgb="FF00B0F0"/>
        </patternFill>
      </fill>
    </dxf>
    <dxf>
      <fill>
        <patternFill>
          <bgColor rgb="FF00B050"/>
        </patternFill>
      </fill>
    </dxf>
    <dxf>
      <fill>
        <patternFill>
          <bgColor rgb="FFFFC000"/>
        </patternFill>
      </fill>
    </dxf>
    <dxf>
      <font>
        <b val="0"/>
        <i val="0"/>
        <color auto="1"/>
      </font>
      <fill>
        <patternFill>
          <bgColor rgb="FFFF0000"/>
        </patternFill>
      </fill>
    </dxf>
    <dxf>
      <fill>
        <patternFill>
          <bgColor rgb="FFFFFF00"/>
        </patternFill>
      </fill>
    </dxf>
    <dxf>
      <fill>
        <patternFill>
          <bgColor theme="9" tint="0.79998168889431442"/>
        </patternFill>
      </fill>
    </dxf>
    <dxf>
      <fill>
        <patternFill>
          <bgColor theme="7" tint="0.79998168889431442"/>
        </patternFill>
      </fill>
    </dxf>
    <dxf>
      <fill>
        <patternFill>
          <bgColor rgb="FF00B0F0"/>
        </patternFill>
      </fill>
    </dxf>
    <dxf>
      <fill>
        <patternFill>
          <bgColor rgb="FF00B050"/>
        </patternFill>
      </fill>
    </dxf>
    <dxf>
      <fill>
        <patternFill>
          <bgColor rgb="FFFFC000"/>
        </patternFill>
      </fill>
    </dxf>
    <dxf>
      <font>
        <b val="0"/>
        <i val="0"/>
        <color auto="1"/>
      </font>
      <fill>
        <patternFill>
          <bgColor rgb="FFFF0000"/>
        </patternFill>
      </fill>
    </dxf>
    <dxf>
      <fill>
        <patternFill>
          <bgColor rgb="FFFFFF00"/>
        </patternFill>
      </fill>
    </dxf>
    <dxf>
      <font>
        <b val="0"/>
        <i val="0"/>
        <color auto="1"/>
      </font>
      <fill>
        <patternFill>
          <bgColor rgb="FFFF0000"/>
        </patternFill>
      </fill>
    </dxf>
    <dxf>
      <fill>
        <patternFill>
          <bgColor rgb="FFFFFF00"/>
        </patternFill>
      </fill>
    </dxf>
    <dxf>
      <fill>
        <patternFill>
          <bgColor theme="9" tint="0.79998168889431442"/>
        </patternFill>
      </fill>
    </dxf>
    <dxf>
      <fill>
        <patternFill>
          <bgColor theme="7" tint="0.79998168889431442"/>
        </patternFill>
      </fill>
    </dxf>
    <dxf>
      <fill>
        <patternFill>
          <bgColor rgb="FF00B0F0"/>
        </patternFill>
      </fill>
    </dxf>
    <dxf>
      <fill>
        <patternFill>
          <bgColor rgb="FF00B050"/>
        </patternFill>
      </fill>
    </dxf>
    <dxf>
      <fill>
        <patternFill>
          <bgColor rgb="FFFFC000"/>
        </patternFill>
      </fill>
    </dxf>
    <dxf>
      <font>
        <b val="0"/>
        <i val="0"/>
        <color auto="1"/>
      </font>
      <fill>
        <patternFill>
          <bgColor rgb="FFFF0000"/>
        </patternFill>
      </fill>
    </dxf>
    <dxf>
      <fill>
        <patternFill>
          <bgColor rgb="FFFFFF00"/>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718C-B13F-45D7-AD12-574A48939155}">
  <sheetPr>
    <tabColor rgb="FFFF0000"/>
    <pageSetUpPr fitToPage="1"/>
  </sheetPr>
  <dimension ref="B1:O43"/>
  <sheetViews>
    <sheetView tabSelected="1" zoomScale="80" zoomScaleNormal="80" workbookViewId="0">
      <pane xSplit="2" ySplit="6" topLeftCell="C7" activePane="bottomRight" state="frozen"/>
      <selection pane="topRight" activeCell="C1" sqref="C1"/>
      <selection pane="bottomLeft" activeCell="A6" sqref="A6"/>
      <selection pane="bottomRight" activeCell="C37" sqref="C37"/>
    </sheetView>
  </sheetViews>
  <sheetFormatPr defaultColWidth="8.75" defaultRowHeight="18.75" x14ac:dyDescent="0.4"/>
  <cols>
    <col min="1" max="1" width="2.5" style="2" bestFit="1" customWidth="1"/>
    <col min="2" max="2" width="4.5" style="1" bestFit="1" customWidth="1"/>
    <col min="3" max="3" width="12.875" style="1" customWidth="1"/>
    <col min="4" max="5" width="19.25" style="1" bestFit="1" customWidth="1"/>
    <col min="6" max="6" width="23.5" style="1" bestFit="1" customWidth="1"/>
    <col min="7" max="7" width="8.625" style="1" bestFit="1" customWidth="1"/>
    <col min="8" max="11" width="38" style="1" customWidth="1"/>
    <col min="12" max="12" width="18.875" style="77" customWidth="1"/>
    <col min="13" max="13" width="20.25" style="1" customWidth="1"/>
    <col min="14" max="15" width="38" style="1" customWidth="1"/>
    <col min="16" max="16384" width="8.75" style="2"/>
  </cols>
  <sheetData>
    <row r="1" spans="2:15" ht="14.45" customHeight="1" x14ac:dyDescent="0.4"/>
    <row r="2" spans="2:15" ht="25.15" customHeight="1" x14ac:dyDescent="0.4">
      <c r="C2" s="2"/>
      <c r="D2" s="2"/>
      <c r="E2" s="103" t="s">
        <v>550</v>
      </c>
      <c r="F2" s="93" t="s">
        <v>551</v>
      </c>
      <c r="G2" s="2"/>
      <c r="H2" s="94" t="s">
        <v>779</v>
      </c>
      <c r="I2" s="95" t="s">
        <v>552</v>
      </c>
      <c r="J2" s="2"/>
      <c r="K2" s="2"/>
    </row>
    <row r="3" spans="2:15" ht="32.450000000000003" customHeight="1" x14ac:dyDescent="0.4">
      <c r="C3" s="2"/>
      <c r="D3" s="2"/>
      <c r="E3" s="103">
        <f>COUNTA($K$7:$K$10000)</f>
        <v>30</v>
      </c>
      <c r="F3" s="93">
        <f>COUNTIFS($K$7:$K$10000,"&lt;&gt;",$L$7:$L$10000,"")</f>
        <v>0</v>
      </c>
      <c r="G3" s="2"/>
      <c r="H3" s="94" cm="1">
        <f t="array" ref="H3">SUM(COUNTIF($L$7:$L$10000,{"△","×"}))</f>
        <v>2</v>
      </c>
      <c r="I3" s="95">
        <f>COUNTIF($L$7:$L$10000, "〇")</f>
        <v>28</v>
      </c>
      <c r="J3" s="112"/>
      <c r="K3" s="112"/>
    </row>
    <row r="4" spans="2:15" ht="13.9" customHeight="1" thickBot="1" x14ac:dyDescent="0.45"/>
    <row r="5" spans="2:15" ht="37.5" x14ac:dyDescent="0.4">
      <c r="B5" s="3"/>
      <c r="C5" s="29"/>
      <c r="D5" s="135" t="s">
        <v>0</v>
      </c>
      <c r="E5" s="136"/>
      <c r="F5" s="137"/>
      <c r="G5" s="4"/>
      <c r="H5" s="4" t="s">
        <v>1</v>
      </c>
      <c r="I5" s="4" t="s">
        <v>2</v>
      </c>
      <c r="J5" s="4" t="s">
        <v>3</v>
      </c>
      <c r="K5" s="31"/>
      <c r="L5" s="62" t="s">
        <v>522</v>
      </c>
      <c r="M5" s="31" t="s">
        <v>524</v>
      </c>
      <c r="N5" s="31" t="s">
        <v>520</v>
      </c>
      <c r="O5" s="5" t="s">
        <v>789</v>
      </c>
    </row>
    <row r="6" spans="2:15" ht="19.5" thickBot="1" x14ac:dyDescent="0.45">
      <c r="B6" s="6" t="s">
        <v>4</v>
      </c>
      <c r="C6" s="30" t="s">
        <v>505</v>
      </c>
      <c r="D6" s="7" t="s">
        <v>5</v>
      </c>
      <c r="E6" s="7" t="s">
        <v>6</v>
      </c>
      <c r="F6" s="7" t="s">
        <v>7</v>
      </c>
      <c r="G6" s="7" t="s">
        <v>8</v>
      </c>
      <c r="H6" s="7" t="s">
        <v>9</v>
      </c>
      <c r="I6" s="7" t="s">
        <v>10</v>
      </c>
      <c r="J6" s="7" t="s">
        <v>11</v>
      </c>
      <c r="K6" s="32" t="s">
        <v>12</v>
      </c>
      <c r="L6" s="61" t="s">
        <v>523</v>
      </c>
      <c r="M6" s="57" t="s">
        <v>564</v>
      </c>
      <c r="N6" s="32"/>
      <c r="O6" s="8" t="s">
        <v>793</v>
      </c>
    </row>
    <row r="7" spans="2:15" ht="37.5" x14ac:dyDescent="0.4">
      <c r="B7" s="13">
        <v>1</v>
      </c>
      <c r="C7" s="52" t="s">
        <v>545</v>
      </c>
      <c r="D7" s="26" t="s">
        <v>13</v>
      </c>
      <c r="E7" s="26" t="s">
        <v>14</v>
      </c>
      <c r="F7" s="26" t="s">
        <v>15</v>
      </c>
      <c r="G7" s="26" t="s">
        <v>16</v>
      </c>
      <c r="H7" s="26" t="s">
        <v>17</v>
      </c>
      <c r="I7" s="26" t="s">
        <v>18</v>
      </c>
      <c r="J7" s="26" t="s">
        <v>19</v>
      </c>
      <c r="K7" s="117" t="s">
        <v>506</v>
      </c>
      <c r="L7" s="132" t="s">
        <v>525</v>
      </c>
      <c r="M7" s="124">
        <v>46156</v>
      </c>
      <c r="N7" s="117"/>
      <c r="O7" s="26"/>
    </row>
    <row r="8" spans="2:15" ht="37.5" x14ac:dyDescent="0.4">
      <c r="B8" s="9">
        <v>2</v>
      </c>
      <c r="C8" s="50" t="s">
        <v>545</v>
      </c>
      <c r="D8" s="10" t="s">
        <v>13</v>
      </c>
      <c r="E8" s="10" t="s">
        <v>14</v>
      </c>
      <c r="F8" s="10" t="s">
        <v>15</v>
      </c>
      <c r="G8" s="10" t="s">
        <v>16</v>
      </c>
      <c r="H8" s="10" t="s">
        <v>20</v>
      </c>
      <c r="I8" s="10" t="s">
        <v>21</v>
      </c>
      <c r="J8" s="10" t="s">
        <v>22</v>
      </c>
      <c r="K8" s="33" t="s">
        <v>506</v>
      </c>
      <c r="L8" s="60" t="s">
        <v>525</v>
      </c>
      <c r="M8" s="68">
        <v>46156</v>
      </c>
      <c r="N8" s="33"/>
      <c r="O8" s="10"/>
    </row>
    <row r="9" spans="2:15" ht="37.5" x14ac:dyDescent="0.4">
      <c r="B9" s="9">
        <v>3</v>
      </c>
      <c r="C9" s="50" t="s">
        <v>545</v>
      </c>
      <c r="D9" s="10" t="s">
        <v>13</v>
      </c>
      <c r="E9" s="10" t="s">
        <v>14</v>
      </c>
      <c r="F9" s="10" t="s">
        <v>15</v>
      </c>
      <c r="G9" s="10" t="s">
        <v>23</v>
      </c>
      <c r="H9" s="10" t="s">
        <v>24</v>
      </c>
      <c r="I9" s="10" t="s">
        <v>25</v>
      </c>
      <c r="J9" s="10" t="s">
        <v>26</v>
      </c>
      <c r="K9" s="33" t="s">
        <v>27</v>
      </c>
      <c r="L9" s="72" t="s">
        <v>525</v>
      </c>
      <c r="M9" s="68">
        <v>46156</v>
      </c>
      <c r="N9" s="33" t="s">
        <v>553</v>
      </c>
      <c r="O9" s="10" t="s">
        <v>799</v>
      </c>
    </row>
    <row r="10" spans="2:15" ht="37.5" x14ac:dyDescent="0.4">
      <c r="B10" s="9">
        <v>4</v>
      </c>
      <c r="C10" s="50" t="s">
        <v>545</v>
      </c>
      <c r="D10" s="10" t="s">
        <v>13</v>
      </c>
      <c r="E10" s="10" t="s">
        <v>14</v>
      </c>
      <c r="F10" s="10" t="s">
        <v>15</v>
      </c>
      <c r="G10" s="10" t="s">
        <v>23</v>
      </c>
      <c r="H10" s="10" t="s">
        <v>24</v>
      </c>
      <c r="I10" s="10" t="s">
        <v>25</v>
      </c>
      <c r="J10" s="10" t="s">
        <v>28</v>
      </c>
      <c r="K10" s="33" t="s">
        <v>27</v>
      </c>
      <c r="L10" s="60" t="s">
        <v>525</v>
      </c>
      <c r="M10" s="68">
        <v>46156</v>
      </c>
      <c r="N10" s="33" t="s">
        <v>553</v>
      </c>
      <c r="O10" s="10" t="s">
        <v>799</v>
      </c>
    </row>
    <row r="11" spans="2:15" ht="37.5" x14ac:dyDescent="0.4">
      <c r="B11" s="9">
        <v>5</v>
      </c>
      <c r="C11" s="50" t="s">
        <v>545</v>
      </c>
      <c r="D11" s="10" t="s">
        <v>13</v>
      </c>
      <c r="E11" s="10" t="s">
        <v>14</v>
      </c>
      <c r="F11" s="10" t="s">
        <v>15</v>
      </c>
      <c r="G11" s="10" t="s">
        <v>23</v>
      </c>
      <c r="H11" s="10" t="s">
        <v>24</v>
      </c>
      <c r="I11" s="10" t="s">
        <v>29</v>
      </c>
      <c r="J11" s="10" t="s">
        <v>30</v>
      </c>
      <c r="K11" s="33" t="s">
        <v>507</v>
      </c>
      <c r="L11" s="60" t="s">
        <v>525</v>
      </c>
      <c r="M11" s="68">
        <v>46156</v>
      </c>
      <c r="N11" s="33" t="s">
        <v>554</v>
      </c>
      <c r="O11" s="10" t="s">
        <v>799</v>
      </c>
    </row>
    <row r="12" spans="2:15" ht="37.5" x14ac:dyDescent="0.4">
      <c r="B12" s="9">
        <v>6</v>
      </c>
      <c r="C12" s="50" t="s">
        <v>545</v>
      </c>
      <c r="D12" s="10" t="s">
        <v>13</v>
      </c>
      <c r="E12" s="10" t="s">
        <v>14</v>
      </c>
      <c r="F12" s="10" t="s">
        <v>15</v>
      </c>
      <c r="G12" s="10" t="s">
        <v>23</v>
      </c>
      <c r="H12" s="10" t="s">
        <v>24</v>
      </c>
      <c r="I12" s="10" t="s">
        <v>31</v>
      </c>
      <c r="J12" s="10" t="s">
        <v>32</v>
      </c>
      <c r="K12" s="33" t="s">
        <v>507</v>
      </c>
      <c r="L12" s="60" t="s">
        <v>525</v>
      </c>
      <c r="M12" s="68">
        <v>46156</v>
      </c>
      <c r="N12" s="33" t="s">
        <v>555</v>
      </c>
      <c r="O12" s="10" t="s">
        <v>799</v>
      </c>
    </row>
    <row r="13" spans="2:15" ht="38.25" thickBot="1" x14ac:dyDescent="0.45">
      <c r="B13" s="6">
        <v>7</v>
      </c>
      <c r="C13" s="51" t="s">
        <v>545</v>
      </c>
      <c r="D13" s="7" t="s">
        <v>13</v>
      </c>
      <c r="E13" s="7" t="s">
        <v>14</v>
      </c>
      <c r="F13" s="7" t="s">
        <v>33</v>
      </c>
      <c r="G13" s="7" t="s">
        <v>16</v>
      </c>
      <c r="H13" s="7" t="s">
        <v>34</v>
      </c>
      <c r="I13" s="7"/>
      <c r="J13" s="12" t="s">
        <v>35</v>
      </c>
      <c r="K13" s="34" t="s">
        <v>36</v>
      </c>
      <c r="L13" s="60" t="s">
        <v>525</v>
      </c>
      <c r="M13" s="70">
        <v>46156</v>
      </c>
      <c r="N13" s="32" t="s">
        <v>556</v>
      </c>
      <c r="O13" s="10" t="s">
        <v>799</v>
      </c>
    </row>
    <row r="14" spans="2:15" ht="56.25" x14ac:dyDescent="0.4">
      <c r="B14" s="13">
        <v>8</v>
      </c>
      <c r="C14" s="96" t="s">
        <v>545</v>
      </c>
      <c r="D14" s="4" t="s">
        <v>13</v>
      </c>
      <c r="E14" s="4" t="s">
        <v>37</v>
      </c>
      <c r="F14" s="4" t="s">
        <v>15</v>
      </c>
      <c r="G14" s="4" t="s">
        <v>16</v>
      </c>
      <c r="H14" s="4" t="s">
        <v>38</v>
      </c>
      <c r="I14" s="4" t="s">
        <v>39</v>
      </c>
      <c r="J14" s="4" t="s">
        <v>40</v>
      </c>
      <c r="K14" s="31" t="s">
        <v>508</v>
      </c>
      <c r="L14" s="62" t="s">
        <v>525</v>
      </c>
      <c r="M14" s="56">
        <v>46156</v>
      </c>
      <c r="N14" s="31"/>
      <c r="O14" s="10"/>
    </row>
    <row r="15" spans="2:15" ht="69.599999999999994" customHeight="1" x14ac:dyDescent="0.4">
      <c r="B15" s="9">
        <v>9</v>
      </c>
      <c r="C15" s="92" t="s">
        <v>545</v>
      </c>
      <c r="D15" s="10" t="s">
        <v>13</v>
      </c>
      <c r="E15" s="10" t="s">
        <v>37</v>
      </c>
      <c r="F15" s="10" t="s">
        <v>15</v>
      </c>
      <c r="G15" s="10" t="s">
        <v>23</v>
      </c>
      <c r="H15" s="10" t="s">
        <v>41</v>
      </c>
      <c r="I15" s="14" t="s">
        <v>42</v>
      </c>
      <c r="J15" s="10" t="s">
        <v>43</v>
      </c>
      <c r="K15" s="33" t="s">
        <v>44</v>
      </c>
      <c r="L15" s="60" t="s">
        <v>525</v>
      </c>
      <c r="M15" s="68">
        <v>46156</v>
      </c>
      <c r="N15" s="33" t="s">
        <v>557</v>
      </c>
      <c r="O15" s="10" t="s">
        <v>800</v>
      </c>
    </row>
    <row r="16" spans="2:15" ht="37.5" x14ac:dyDescent="0.4">
      <c r="B16" s="9">
        <v>10</v>
      </c>
      <c r="C16" s="92" t="s">
        <v>545</v>
      </c>
      <c r="D16" s="10" t="s">
        <v>13</v>
      </c>
      <c r="E16" s="10" t="s">
        <v>37</v>
      </c>
      <c r="F16" s="10" t="s">
        <v>15</v>
      </c>
      <c r="G16" s="10" t="s">
        <v>23</v>
      </c>
      <c r="H16" s="10" t="s">
        <v>41</v>
      </c>
      <c r="I16" s="10" t="s">
        <v>45</v>
      </c>
      <c r="J16" s="10" t="s">
        <v>46</v>
      </c>
      <c r="K16" s="33" t="s">
        <v>47</v>
      </c>
      <c r="L16" s="60" t="s">
        <v>525</v>
      </c>
      <c r="M16" s="68">
        <v>46156</v>
      </c>
      <c r="N16" s="33" t="s">
        <v>554</v>
      </c>
      <c r="O16" s="10" t="s">
        <v>799</v>
      </c>
    </row>
    <row r="17" spans="2:15" ht="37.5" x14ac:dyDescent="0.4">
      <c r="B17" s="9">
        <v>11</v>
      </c>
      <c r="C17" s="92" t="s">
        <v>545</v>
      </c>
      <c r="D17" s="10" t="s">
        <v>13</v>
      </c>
      <c r="E17" s="10" t="s">
        <v>37</v>
      </c>
      <c r="F17" s="10" t="s">
        <v>15</v>
      </c>
      <c r="G17" s="10" t="s">
        <v>23</v>
      </c>
      <c r="H17" s="10" t="s">
        <v>41</v>
      </c>
      <c r="I17" s="10" t="s">
        <v>48</v>
      </c>
      <c r="J17" s="10" t="s">
        <v>49</v>
      </c>
      <c r="K17" s="33" t="s">
        <v>50</v>
      </c>
      <c r="L17" s="60" t="s">
        <v>525</v>
      </c>
      <c r="M17" s="68">
        <v>46156</v>
      </c>
      <c r="N17" s="33"/>
      <c r="O17" s="10"/>
    </row>
    <row r="18" spans="2:15" ht="37.5" x14ac:dyDescent="0.4">
      <c r="B18" s="9">
        <v>12</v>
      </c>
      <c r="C18" s="92" t="s">
        <v>545</v>
      </c>
      <c r="D18" s="10" t="s">
        <v>13</v>
      </c>
      <c r="E18" s="10" t="s">
        <v>37</v>
      </c>
      <c r="F18" s="10" t="s">
        <v>15</v>
      </c>
      <c r="G18" s="10" t="s">
        <v>23</v>
      </c>
      <c r="H18" s="10" t="s">
        <v>41</v>
      </c>
      <c r="I18" s="10" t="s">
        <v>51</v>
      </c>
      <c r="J18" s="10" t="s">
        <v>52</v>
      </c>
      <c r="K18" s="33" t="s">
        <v>509</v>
      </c>
      <c r="L18" s="60" t="s">
        <v>525</v>
      </c>
      <c r="M18" s="68">
        <v>46156</v>
      </c>
      <c r="N18" s="33" t="s">
        <v>558</v>
      </c>
      <c r="O18" s="10" t="s">
        <v>799</v>
      </c>
    </row>
    <row r="19" spans="2:15" ht="75" x14ac:dyDescent="0.4">
      <c r="B19" s="9">
        <v>13</v>
      </c>
      <c r="C19" s="92" t="s">
        <v>545</v>
      </c>
      <c r="D19" s="10" t="s">
        <v>13</v>
      </c>
      <c r="E19" s="10" t="s">
        <v>37</v>
      </c>
      <c r="F19" s="10" t="s">
        <v>15</v>
      </c>
      <c r="G19" s="10" t="s">
        <v>23</v>
      </c>
      <c r="H19" s="10" t="s">
        <v>41</v>
      </c>
      <c r="I19" s="10" t="s">
        <v>53</v>
      </c>
      <c r="J19" s="10" t="s">
        <v>54</v>
      </c>
      <c r="K19" s="33" t="s">
        <v>561</v>
      </c>
      <c r="L19" s="60" t="s">
        <v>525</v>
      </c>
      <c r="M19" s="68">
        <v>46157</v>
      </c>
      <c r="N19" s="130" t="s">
        <v>562</v>
      </c>
      <c r="O19" s="10" t="s">
        <v>801</v>
      </c>
    </row>
    <row r="20" spans="2:15" ht="56.25" x14ac:dyDescent="0.4">
      <c r="B20" s="9">
        <v>14</v>
      </c>
      <c r="C20" s="92" t="s">
        <v>545</v>
      </c>
      <c r="D20" s="10" t="s">
        <v>13</v>
      </c>
      <c r="E20" s="10" t="s">
        <v>37</v>
      </c>
      <c r="F20" s="10" t="s">
        <v>15</v>
      </c>
      <c r="G20" s="10" t="s">
        <v>23</v>
      </c>
      <c r="H20" s="10" t="s">
        <v>41</v>
      </c>
      <c r="I20" s="10" t="s">
        <v>55</v>
      </c>
      <c r="J20" s="10" t="s">
        <v>56</v>
      </c>
      <c r="K20" s="33" t="s">
        <v>510</v>
      </c>
      <c r="L20" s="60" t="s">
        <v>525</v>
      </c>
      <c r="M20" s="68">
        <v>46157</v>
      </c>
      <c r="N20" s="33"/>
      <c r="O20" s="10"/>
    </row>
    <row r="21" spans="2:15" ht="56.25" x14ac:dyDescent="0.4">
      <c r="B21" s="9">
        <v>15</v>
      </c>
      <c r="C21" s="92" t="s">
        <v>545</v>
      </c>
      <c r="D21" s="10" t="s">
        <v>13</v>
      </c>
      <c r="E21" s="10" t="s">
        <v>37</v>
      </c>
      <c r="F21" s="10" t="s">
        <v>15</v>
      </c>
      <c r="G21" s="10" t="s">
        <v>23</v>
      </c>
      <c r="H21" s="10" t="s">
        <v>41</v>
      </c>
      <c r="I21" s="10" t="s">
        <v>55</v>
      </c>
      <c r="J21" s="10" t="s">
        <v>57</v>
      </c>
      <c r="K21" s="33" t="s">
        <v>510</v>
      </c>
      <c r="L21" s="60" t="s">
        <v>525</v>
      </c>
      <c r="M21" s="68">
        <v>46157</v>
      </c>
      <c r="N21" s="33"/>
      <c r="O21" s="10"/>
    </row>
    <row r="22" spans="2:15" ht="56.25" x14ac:dyDescent="0.4">
      <c r="B22" s="9">
        <v>16</v>
      </c>
      <c r="C22" s="114" t="s">
        <v>545</v>
      </c>
      <c r="D22" s="10" t="s">
        <v>13</v>
      </c>
      <c r="E22" s="10" t="s">
        <v>37</v>
      </c>
      <c r="F22" s="10" t="s">
        <v>15</v>
      </c>
      <c r="G22" s="10" t="s">
        <v>23</v>
      </c>
      <c r="H22" s="10" t="s">
        <v>41</v>
      </c>
      <c r="I22" s="10" t="s">
        <v>55</v>
      </c>
      <c r="J22" s="10" t="s">
        <v>58</v>
      </c>
      <c r="K22" s="33" t="s">
        <v>510</v>
      </c>
      <c r="L22" s="60" t="s">
        <v>525</v>
      </c>
      <c r="M22" s="68">
        <v>46156</v>
      </c>
      <c r="N22" s="33"/>
      <c r="O22" s="10"/>
    </row>
    <row r="23" spans="2:15" ht="56.25" x14ac:dyDescent="0.4">
      <c r="B23" s="9">
        <v>17</v>
      </c>
      <c r="C23" s="92" t="s">
        <v>545</v>
      </c>
      <c r="D23" s="10" t="s">
        <v>13</v>
      </c>
      <c r="E23" s="10" t="s">
        <v>37</v>
      </c>
      <c r="F23" s="10" t="s">
        <v>15</v>
      </c>
      <c r="G23" s="10" t="s">
        <v>23</v>
      </c>
      <c r="H23" s="10" t="s">
        <v>41</v>
      </c>
      <c r="I23" s="10" t="s">
        <v>55</v>
      </c>
      <c r="J23" s="10" t="s">
        <v>59</v>
      </c>
      <c r="K23" s="33" t="s">
        <v>510</v>
      </c>
      <c r="L23" s="60" t="s">
        <v>525</v>
      </c>
      <c r="M23" s="68">
        <v>46156</v>
      </c>
      <c r="N23" s="33"/>
      <c r="O23" s="10"/>
    </row>
    <row r="24" spans="2:15" ht="75" x14ac:dyDescent="0.4">
      <c r="B24" s="9">
        <v>18</v>
      </c>
      <c r="C24" s="92" t="s">
        <v>545</v>
      </c>
      <c r="D24" s="10" t="s">
        <v>13</v>
      </c>
      <c r="E24" s="10" t="s">
        <v>37</v>
      </c>
      <c r="F24" s="10" t="s">
        <v>15</v>
      </c>
      <c r="G24" s="10" t="s">
        <v>23</v>
      </c>
      <c r="H24" s="10" t="s">
        <v>41</v>
      </c>
      <c r="I24" s="10" t="s">
        <v>31</v>
      </c>
      <c r="J24" s="10" t="s">
        <v>60</v>
      </c>
      <c r="K24" s="33" t="s">
        <v>511</v>
      </c>
      <c r="L24" s="60" t="s">
        <v>525</v>
      </c>
      <c r="M24" s="68">
        <v>46156</v>
      </c>
      <c r="N24" s="33" t="s">
        <v>559</v>
      </c>
      <c r="O24" s="10" t="s">
        <v>799</v>
      </c>
    </row>
    <row r="25" spans="2:15" ht="37.5" x14ac:dyDescent="0.4">
      <c r="B25" s="9">
        <v>19</v>
      </c>
      <c r="C25" s="92" t="s">
        <v>545</v>
      </c>
      <c r="D25" s="10" t="s">
        <v>13</v>
      </c>
      <c r="E25" s="10" t="s">
        <v>37</v>
      </c>
      <c r="F25" s="10" t="s">
        <v>61</v>
      </c>
      <c r="G25" s="10" t="s">
        <v>16</v>
      </c>
      <c r="H25" s="10" t="s">
        <v>62</v>
      </c>
      <c r="I25" s="14" t="s">
        <v>63</v>
      </c>
      <c r="J25" s="10" t="s">
        <v>64</v>
      </c>
      <c r="K25" s="33" t="s">
        <v>65</v>
      </c>
      <c r="L25" s="60" t="s">
        <v>525</v>
      </c>
      <c r="M25" s="68">
        <v>46156</v>
      </c>
      <c r="N25" s="131" t="s">
        <v>560</v>
      </c>
      <c r="O25" s="22"/>
    </row>
    <row r="26" spans="2:15" ht="37.5" x14ac:dyDescent="0.4">
      <c r="B26" s="9">
        <v>20</v>
      </c>
      <c r="C26" s="92" t="s">
        <v>545</v>
      </c>
      <c r="D26" s="10" t="s">
        <v>13</v>
      </c>
      <c r="E26" s="10" t="s">
        <v>37</v>
      </c>
      <c r="F26" s="10" t="s">
        <v>61</v>
      </c>
      <c r="G26" s="10" t="s">
        <v>16</v>
      </c>
      <c r="H26" s="10" t="s">
        <v>62</v>
      </c>
      <c r="I26" s="15" t="s">
        <v>66</v>
      </c>
      <c r="J26" s="10" t="s">
        <v>67</v>
      </c>
      <c r="K26" s="33" t="s">
        <v>68</v>
      </c>
      <c r="L26" s="60" t="s">
        <v>525</v>
      </c>
      <c r="M26" s="68">
        <v>46156</v>
      </c>
      <c r="N26" s="131"/>
      <c r="O26" s="22"/>
    </row>
    <row r="27" spans="2:15" ht="37.5" x14ac:dyDescent="0.4">
      <c r="B27" s="9">
        <v>21</v>
      </c>
      <c r="C27" s="92" t="s">
        <v>545</v>
      </c>
      <c r="D27" s="10" t="s">
        <v>13</v>
      </c>
      <c r="E27" s="10" t="s">
        <v>37</v>
      </c>
      <c r="F27" s="10" t="s">
        <v>61</v>
      </c>
      <c r="G27" s="10" t="s">
        <v>16</v>
      </c>
      <c r="H27" s="10" t="s">
        <v>62</v>
      </c>
      <c r="I27" s="15" t="s">
        <v>69</v>
      </c>
      <c r="J27" s="10" t="s">
        <v>70</v>
      </c>
      <c r="K27" s="33" t="s">
        <v>71</v>
      </c>
      <c r="L27" s="60" t="s">
        <v>525</v>
      </c>
      <c r="M27" s="68">
        <v>46157</v>
      </c>
      <c r="N27" s="131"/>
      <c r="O27" s="22"/>
    </row>
    <row r="28" spans="2:15" ht="37.5" x14ac:dyDescent="0.4">
      <c r="B28" s="9">
        <v>22</v>
      </c>
      <c r="C28" s="92" t="s">
        <v>545</v>
      </c>
      <c r="D28" s="10" t="s">
        <v>13</v>
      </c>
      <c r="E28" s="10" t="s">
        <v>37</v>
      </c>
      <c r="F28" s="10" t="s">
        <v>61</v>
      </c>
      <c r="G28" s="10" t="s">
        <v>16</v>
      </c>
      <c r="H28" s="10" t="s">
        <v>62</v>
      </c>
      <c r="I28" s="15" t="s">
        <v>72</v>
      </c>
      <c r="J28" s="10" t="s">
        <v>73</v>
      </c>
      <c r="K28" s="33" t="s">
        <v>74</v>
      </c>
      <c r="L28" s="60" t="s">
        <v>525</v>
      </c>
      <c r="M28" s="68">
        <v>46157</v>
      </c>
      <c r="N28" s="131"/>
      <c r="O28" s="22"/>
    </row>
    <row r="29" spans="2:15" ht="37.5" x14ac:dyDescent="0.4">
      <c r="B29" s="9">
        <v>23</v>
      </c>
      <c r="C29" s="92" t="s">
        <v>545</v>
      </c>
      <c r="D29" s="10" t="s">
        <v>13</v>
      </c>
      <c r="E29" s="10" t="s">
        <v>37</v>
      </c>
      <c r="F29" s="10" t="s">
        <v>61</v>
      </c>
      <c r="G29" s="10" t="s">
        <v>16</v>
      </c>
      <c r="H29" s="10" t="s">
        <v>62</v>
      </c>
      <c r="I29" s="10" t="s">
        <v>75</v>
      </c>
      <c r="J29" s="10" t="s">
        <v>64</v>
      </c>
      <c r="K29" s="33" t="s">
        <v>76</v>
      </c>
      <c r="L29" s="60" t="s">
        <v>525</v>
      </c>
      <c r="M29" s="68">
        <v>46157</v>
      </c>
      <c r="N29" s="131"/>
      <c r="O29" s="22"/>
    </row>
    <row r="30" spans="2:15" ht="37.5" x14ac:dyDescent="0.4">
      <c r="B30" s="9">
        <v>24</v>
      </c>
      <c r="C30" s="92" t="s">
        <v>545</v>
      </c>
      <c r="D30" s="10" t="s">
        <v>13</v>
      </c>
      <c r="E30" s="10" t="s">
        <v>37</v>
      </c>
      <c r="F30" s="10" t="s">
        <v>61</v>
      </c>
      <c r="G30" s="10" t="s">
        <v>16</v>
      </c>
      <c r="H30" s="10" t="s">
        <v>62</v>
      </c>
      <c r="I30" s="10" t="s">
        <v>77</v>
      </c>
      <c r="J30" s="10" t="s">
        <v>67</v>
      </c>
      <c r="K30" s="33" t="s">
        <v>78</v>
      </c>
      <c r="L30" s="60" t="s">
        <v>525</v>
      </c>
      <c r="M30" s="68">
        <v>46157</v>
      </c>
      <c r="N30" s="131"/>
      <c r="O30" s="22"/>
    </row>
    <row r="31" spans="2:15" ht="37.5" x14ac:dyDescent="0.4">
      <c r="B31" s="9">
        <v>25</v>
      </c>
      <c r="C31" s="92" t="s">
        <v>545</v>
      </c>
      <c r="D31" s="10" t="s">
        <v>13</v>
      </c>
      <c r="E31" s="10" t="s">
        <v>37</v>
      </c>
      <c r="F31" s="10" t="s">
        <v>61</v>
      </c>
      <c r="G31" s="10" t="s">
        <v>16</v>
      </c>
      <c r="H31" s="10" t="s">
        <v>62</v>
      </c>
      <c r="I31" s="10" t="s">
        <v>79</v>
      </c>
      <c r="J31" s="10" t="s">
        <v>70</v>
      </c>
      <c r="K31" s="33" t="s">
        <v>80</v>
      </c>
      <c r="L31" s="60" t="s">
        <v>525</v>
      </c>
      <c r="M31" s="68">
        <v>46157</v>
      </c>
      <c r="N31" s="131"/>
      <c r="O31" s="22"/>
    </row>
    <row r="32" spans="2:15" ht="37.5" x14ac:dyDescent="0.4">
      <c r="B32" s="9">
        <v>26</v>
      </c>
      <c r="C32" s="92" t="s">
        <v>545</v>
      </c>
      <c r="D32" s="10" t="s">
        <v>13</v>
      </c>
      <c r="E32" s="10" t="s">
        <v>37</v>
      </c>
      <c r="F32" s="10" t="s">
        <v>61</v>
      </c>
      <c r="G32" s="10" t="s">
        <v>16</v>
      </c>
      <c r="H32" s="10" t="s">
        <v>62</v>
      </c>
      <c r="I32" s="10" t="s">
        <v>81</v>
      </c>
      <c r="J32" s="10" t="s">
        <v>73</v>
      </c>
      <c r="K32" s="33" t="s">
        <v>82</v>
      </c>
      <c r="L32" s="60" t="s">
        <v>525</v>
      </c>
      <c r="M32" s="68">
        <v>46157</v>
      </c>
      <c r="N32" s="131"/>
      <c r="O32" s="22"/>
    </row>
    <row r="33" spans="2:15" ht="19.5" thickBot="1" x14ac:dyDescent="0.45">
      <c r="B33" s="6">
        <v>27</v>
      </c>
      <c r="C33" s="113" t="s">
        <v>545</v>
      </c>
      <c r="D33" s="7" t="s">
        <v>13</v>
      </c>
      <c r="E33" s="7" t="s">
        <v>37</v>
      </c>
      <c r="F33" s="7" t="s">
        <v>33</v>
      </c>
      <c r="G33" s="7" t="s">
        <v>16</v>
      </c>
      <c r="H33" s="7" t="s">
        <v>83</v>
      </c>
      <c r="I33" s="7"/>
      <c r="J33" s="12" t="s">
        <v>35</v>
      </c>
      <c r="K33" s="34" t="s">
        <v>84</v>
      </c>
      <c r="L33" s="63" t="s">
        <v>525</v>
      </c>
      <c r="M33" s="70">
        <v>46157</v>
      </c>
      <c r="N33" s="32" t="s">
        <v>563</v>
      </c>
      <c r="O33" s="10"/>
    </row>
    <row r="34" spans="2:15" ht="56.25" x14ac:dyDescent="0.4">
      <c r="B34" s="9">
        <v>28</v>
      </c>
      <c r="C34" s="52" t="s">
        <v>804</v>
      </c>
      <c r="D34" s="10"/>
      <c r="E34" s="10" t="s">
        <v>14</v>
      </c>
      <c r="F34" s="10"/>
      <c r="G34" s="10" t="s">
        <v>16</v>
      </c>
      <c r="H34" s="10"/>
      <c r="I34" s="10"/>
      <c r="J34" s="10" t="s">
        <v>788</v>
      </c>
      <c r="K34" s="33" t="s">
        <v>803</v>
      </c>
      <c r="L34" s="60" t="s">
        <v>526</v>
      </c>
      <c r="M34" s="68">
        <v>46164</v>
      </c>
      <c r="N34" s="33" t="s">
        <v>808</v>
      </c>
      <c r="O34" s="10"/>
    </row>
    <row r="35" spans="2:15" x14ac:dyDescent="0.4">
      <c r="B35" s="9">
        <v>29</v>
      </c>
      <c r="C35" s="50" t="s">
        <v>787</v>
      </c>
      <c r="D35" s="10"/>
      <c r="E35" s="10" t="s">
        <v>37</v>
      </c>
      <c r="F35" s="10"/>
      <c r="G35" s="10"/>
      <c r="H35" s="10"/>
      <c r="I35" s="10"/>
      <c r="J35" s="10" t="s">
        <v>745</v>
      </c>
      <c r="K35" s="33" t="s">
        <v>745</v>
      </c>
      <c r="L35" s="60" t="s">
        <v>526</v>
      </c>
      <c r="M35" s="68">
        <v>46164</v>
      </c>
      <c r="N35" s="33" t="s">
        <v>808</v>
      </c>
      <c r="O35" s="10"/>
    </row>
    <row r="36" spans="2:15" ht="75" x14ac:dyDescent="0.4">
      <c r="B36" s="9">
        <v>30</v>
      </c>
      <c r="C36" s="50" t="s">
        <v>787</v>
      </c>
      <c r="D36" s="10" t="s">
        <v>805</v>
      </c>
      <c r="E36" s="10"/>
      <c r="F36" s="10"/>
      <c r="G36" s="10"/>
      <c r="H36" s="10"/>
      <c r="I36" s="10"/>
      <c r="J36" s="10" t="s">
        <v>806</v>
      </c>
      <c r="K36" s="33" t="s">
        <v>807</v>
      </c>
      <c r="L36" s="60" t="s">
        <v>525</v>
      </c>
      <c r="M36" s="68">
        <v>46164</v>
      </c>
      <c r="N36" s="33" t="s">
        <v>809</v>
      </c>
      <c r="O36" s="10"/>
    </row>
    <row r="37" spans="2:15" x14ac:dyDescent="0.4">
      <c r="B37" s="9">
        <v>31</v>
      </c>
      <c r="C37" s="50"/>
      <c r="D37" s="10"/>
      <c r="E37" s="10"/>
      <c r="F37" s="10"/>
      <c r="G37" s="10"/>
      <c r="H37" s="10"/>
      <c r="I37" s="10"/>
      <c r="J37" s="10"/>
      <c r="K37" s="33"/>
      <c r="L37" s="60"/>
      <c r="M37" s="54"/>
      <c r="N37" s="33"/>
      <c r="O37" s="10"/>
    </row>
    <row r="38" spans="2:15" x14ac:dyDescent="0.4">
      <c r="B38" s="9">
        <v>32</v>
      </c>
      <c r="C38" s="50"/>
      <c r="D38" s="10"/>
      <c r="E38" s="10"/>
      <c r="F38" s="10"/>
      <c r="G38" s="10"/>
      <c r="H38" s="10"/>
      <c r="I38" s="10"/>
      <c r="J38" s="10"/>
      <c r="K38" s="33"/>
      <c r="L38" s="60"/>
      <c r="M38" s="54"/>
      <c r="N38" s="33"/>
      <c r="O38" s="10"/>
    </row>
    <row r="39" spans="2:15" x14ac:dyDescent="0.4">
      <c r="B39" s="9">
        <v>33</v>
      </c>
      <c r="C39" s="50"/>
      <c r="D39" s="10"/>
      <c r="E39" s="10"/>
      <c r="F39" s="10"/>
      <c r="G39" s="10"/>
      <c r="H39" s="10"/>
      <c r="I39" s="10"/>
      <c r="J39" s="10"/>
      <c r="K39" s="33"/>
      <c r="L39" s="60"/>
      <c r="M39" s="54"/>
      <c r="N39" s="33"/>
      <c r="O39" s="10"/>
    </row>
    <row r="40" spans="2:15" x14ac:dyDescent="0.4">
      <c r="B40" s="9">
        <v>34</v>
      </c>
      <c r="C40" s="50"/>
      <c r="D40" s="10"/>
      <c r="E40" s="10"/>
      <c r="F40" s="10"/>
      <c r="G40" s="10"/>
      <c r="H40" s="10"/>
      <c r="I40" s="10"/>
      <c r="J40" s="10"/>
      <c r="K40" s="33"/>
      <c r="L40" s="33"/>
      <c r="M40" s="54"/>
      <c r="N40" s="33"/>
      <c r="O40" s="10"/>
    </row>
    <row r="41" spans="2:15" x14ac:dyDescent="0.4">
      <c r="B41" s="9">
        <v>35</v>
      </c>
      <c r="C41" s="50"/>
      <c r="D41" s="10"/>
      <c r="E41" s="10"/>
      <c r="F41" s="10"/>
      <c r="G41" s="10"/>
      <c r="H41" s="10"/>
      <c r="I41" s="10"/>
      <c r="J41" s="10"/>
      <c r="K41" s="33"/>
      <c r="L41" s="60"/>
      <c r="M41" s="54"/>
      <c r="N41" s="33"/>
      <c r="O41" s="10"/>
    </row>
    <row r="42" spans="2:15" x14ac:dyDescent="0.4">
      <c r="B42" s="9">
        <v>36</v>
      </c>
      <c r="C42" s="50"/>
      <c r="D42" s="10"/>
      <c r="E42" s="10"/>
      <c r="F42" s="10"/>
      <c r="G42" s="10"/>
      <c r="H42" s="10"/>
      <c r="I42" s="10"/>
      <c r="J42" s="10"/>
      <c r="K42" s="33"/>
      <c r="L42" s="60"/>
      <c r="M42" s="54"/>
      <c r="N42" s="33"/>
      <c r="O42" s="10"/>
    </row>
    <row r="43" spans="2:15" ht="19.5" thickBot="1" x14ac:dyDescent="0.45">
      <c r="B43" s="9">
        <v>37</v>
      </c>
      <c r="C43" s="51"/>
      <c r="D43" s="7"/>
      <c r="E43" s="7"/>
      <c r="F43" s="7"/>
      <c r="G43" s="7"/>
      <c r="H43" s="7"/>
      <c r="I43" s="7"/>
      <c r="J43" s="7"/>
      <c r="K43" s="32"/>
      <c r="L43" s="61"/>
      <c r="M43" s="55"/>
      <c r="N43" s="32"/>
      <c r="O43" s="10"/>
    </row>
  </sheetData>
  <mergeCells count="1">
    <mergeCell ref="D5:F5"/>
  </mergeCells>
  <phoneticPr fontId="2"/>
  <conditionalFormatting sqref="B1:B1048576 L41:L1048576">
    <cfRule type="expression" dxfId="29" priority="10">
      <formula>$L1="△"</formula>
    </cfRule>
    <cfRule type="expression" dxfId="28" priority="11">
      <formula>$L1="×"</formula>
    </cfRule>
  </conditionalFormatting>
  <conditionalFormatting sqref="C1:C1048576">
    <cfRule type="cellIs" dxfId="27" priority="7" operator="equal">
      <formula>"長沢"</formula>
    </cfRule>
    <cfRule type="cellIs" dxfId="26" priority="8" operator="equal">
      <formula>"斉藤"</formula>
    </cfRule>
    <cfRule type="cellIs" dxfId="25" priority="9" operator="equal">
      <formula>"光沢"</formula>
    </cfRule>
  </conditionalFormatting>
  <conditionalFormatting sqref="G1:G1048576">
    <cfRule type="cellIs" dxfId="24" priority="5" operator="equal">
      <formula>"準異常系"</formula>
    </cfRule>
    <cfRule type="cellIs" dxfId="23" priority="6" operator="equal">
      <formula>"正常系"</formula>
    </cfRule>
  </conditionalFormatting>
  <conditionalFormatting sqref="L1:L39">
    <cfRule type="expression" dxfId="22" priority="1">
      <formula>$L1="△"</formula>
    </cfRule>
    <cfRule type="expression" dxfId="21" priority="2">
      <formula>$L1="×"</formula>
    </cfRule>
  </conditionalFormatting>
  <dataValidations count="2">
    <dataValidation type="list" allowBlank="1" showInputMessage="1" showErrorMessage="1" sqref="C1 C4:C1048576" xr:uid="{E90D6EA5-EA95-44CA-8F14-56FB6638DA3D}">
      <formula1>"光沢,斉藤,長沢"</formula1>
    </dataValidation>
    <dataValidation type="list" allowBlank="1" showInputMessage="1" showErrorMessage="1" sqref="L41:L43 L7:L39" xr:uid="{298B77CF-930A-45C6-AA6D-CCC04345537E}">
      <formula1>"〇,△,×"</formula1>
    </dataValidation>
  </dataValidations>
  <pageMargins left="0.70866141732283472" right="0.70866141732283472" top="0.74803149606299213" bottom="0.74803149606299213" header="0.31496062992125984" footer="0.31496062992125984"/>
  <pageSetup paperSize="9" scale="52" fitToHeight="0" orientation="landscape"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C0C03AEF-6DA3-419E-B5E9-6956D15AF63B}">
          <x14:formula1>
            <xm:f>参考!$A$2:$A$4</xm:f>
          </x14:formula1>
          <xm:sqref>G7:G34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7793-5FBF-4040-A7F2-58B447CD737A}">
  <sheetPr>
    <tabColor rgb="FF0070C0"/>
    <pageSetUpPr fitToPage="1"/>
  </sheetPr>
  <dimension ref="B1:P109"/>
  <sheetViews>
    <sheetView zoomScale="80" zoomScaleNormal="80" workbookViewId="0">
      <pane ySplit="6" topLeftCell="A7" activePane="bottomLeft" state="frozen"/>
      <selection activeCell="C4" sqref="C4"/>
      <selection pane="bottomLeft" activeCell="N12" sqref="N12"/>
    </sheetView>
  </sheetViews>
  <sheetFormatPr defaultColWidth="8.75" defaultRowHeight="18.75" x14ac:dyDescent="0.4"/>
  <cols>
    <col min="1" max="1" width="2.5" style="2" bestFit="1" customWidth="1"/>
    <col min="2" max="2" width="4.5" style="1" bestFit="1" customWidth="1"/>
    <col min="3" max="3" width="12.875" style="1" customWidth="1"/>
    <col min="4" max="5" width="19.25" style="1" bestFit="1" customWidth="1"/>
    <col min="6" max="6" width="23.5" style="1" bestFit="1" customWidth="1"/>
    <col min="7" max="7" width="8.625" style="1" bestFit="1" customWidth="1"/>
    <col min="8" max="11" width="38" style="1" customWidth="1"/>
    <col min="12" max="12" width="18.875" style="77" customWidth="1"/>
    <col min="13" max="13" width="18.875" style="1" customWidth="1"/>
    <col min="14" max="16" width="38" style="1" customWidth="1"/>
    <col min="17" max="16384" width="8.75" style="2"/>
  </cols>
  <sheetData>
    <row r="1" spans="2:15" ht="12.6" customHeight="1" x14ac:dyDescent="0.4"/>
    <row r="2" spans="2:15" ht="25.15" customHeight="1" x14ac:dyDescent="0.4">
      <c r="C2" s="2"/>
      <c r="D2" s="2"/>
      <c r="E2" s="103" t="s">
        <v>550</v>
      </c>
      <c r="F2" s="93" t="s">
        <v>551</v>
      </c>
      <c r="G2" s="2"/>
      <c r="H2" s="94" t="s">
        <v>779</v>
      </c>
      <c r="I2" s="95" t="s">
        <v>552</v>
      </c>
      <c r="J2" s="2"/>
      <c r="K2" s="2"/>
    </row>
    <row r="3" spans="2:15" ht="32.450000000000003" customHeight="1" x14ac:dyDescent="0.4">
      <c r="C3" s="2"/>
      <c r="D3" s="2"/>
      <c r="E3" s="103">
        <f>COUNTA($K$7:$K$10000)</f>
        <v>92</v>
      </c>
      <c r="F3" s="93">
        <f>COUNTIFS($K$7:$K$10000,"&lt;&gt;",$L$7:$L$10000,"")</f>
        <v>0</v>
      </c>
      <c r="G3" s="2"/>
      <c r="H3" s="94" cm="1">
        <f t="array" ref="H3">SUM(COUNTIF($L$7:$L$10000,{"△","×"}))</f>
        <v>10</v>
      </c>
      <c r="I3" s="95">
        <f>COUNTIF($L$7:$L$10000, "〇")</f>
        <v>82</v>
      </c>
      <c r="J3" s="112"/>
      <c r="K3" s="112"/>
    </row>
    <row r="4" spans="2:15" ht="15.6" customHeight="1" thickBot="1" x14ac:dyDescent="0.45"/>
    <row r="5" spans="2:15" ht="37.5" x14ac:dyDescent="0.4">
      <c r="B5" s="3"/>
      <c r="C5" s="29"/>
      <c r="D5" s="134" t="s">
        <v>0</v>
      </c>
      <c r="E5" s="134"/>
      <c r="F5" s="134"/>
      <c r="G5" s="4"/>
      <c r="H5" s="4" t="s">
        <v>1</v>
      </c>
      <c r="I5" s="4" t="s">
        <v>2</v>
      </c>
      <c r="J5" s="4" t="s">
        <v>3</v>
      </c>
      <c r="K5" s="31"/>
      <c r="L5" s="62" t="s">
        <v>522</v>
      </c>
      <c r="M5" s="31" t="s">
        <v>524</v>
      </c>
      <c r="N5" s="31" t="s">
        <v>520</v>
      </c>
      <c r="O5" s="5" t="s">
        <v>789</v>
      </c>
    </row>
    <row r="6" spans="2:15" ht="19.5" thickBot="1" x14ac:dyDescent="0.45">
      <c r="B6" s="6" t="s">
        <v>4</v>
      </c>
      <c r="C6" s="30" t="s">
        <v>505</v>
      </c>
      <c r="D6" s="7" t="s">
        <v>5</v>
      </c>
      <c r="E6" s="7" t="s">
        <v>6</v>
      </c>
      <c r="F6" s="7" t="s">
        <v>7</v>
      </c>
      <c r="G6" s="7" t="s">
        <v>8</v>
      </c>
      <c r="H6" s="7" t="s">
        <v>9</v>
      </c>
      <c r="I6" s="7" t="s">
        <v>10</v>
      </c>
      <c r="J6" s="7" t="s">
        <v>11</v>
      </c>
      <c r="K6" s="32" t="s">
        <v>12</v>
      </c>
      <c r="L6" s="61" t="s">
        <v>523</v>
      </c>
      <c r="M6" s="57" t="s">
        <v>564</v>
      </c>
      <c r="N6" s="32"/>
      <c r="O6" s="8" t="s">
        <v>793</v>
      </c>
    </row>
    <row r="7" spans="2:15" ht="38.25" thickBot="1" x14ac:dyDescent="0.45">
      <c r="B7" s="129">
        <v>1</v>
      </c>
      <c r="C7" s="44" t="s">
        <v>521</v>
      </c>
      <c r="D7" s="20" t="s">
        <v>220</v>
      </c>
      <c r="E7" s="20" t="s">
        <v>221</v>
      </c>
      <c r="F7" s="20" t="s">
        <v>222</v>
      </c>
      <c r="G7" s="20" t="s">
        <v>16</v>
      </c>
      <c r="H7" s="20" t="s">
        <v>223</v>
      </c>
      <c r="I7" s="20"/>
      <c r="J7" s="21" t="s">
        <v>224</v>
      </c>
      <c r="K7" s="39" t="s">
        <v>225</v>
      </c>
      <c r="L7" s="65" t="s">
        <v>525</v>
      </c>
      <c r="M7" s="71">
        <v>46155</v>
      </c>
      <c r="N7" s="116"/>
      <c r="O7" s="8"/>
    </row>
    <row r="8" spans="2:15" x14ac:dyDescent="0.4">
      <c r="B8" s="42">
        <v>2</v>
      </c>
      <c r="C8" s="45" t="s">
        <v>521</v>
      </c>
      <c r="D8" s="26" t="s">
        <v>220</v>
      </c>
      <c r="E8" s="26" t="s">
        <v>221</v>
      </c>
      <c r="F8" s="26" t="s">
        <v>226</v>
      </c>
      <c r="G8" s="26" t="s">
        <v>16</v>
      </c>
      <c r="H8" s="26" t="s">
        <v>227</v>
      </c>
      <c r="I8" s="26"/>
      <c r="J8" s="28" t="s">
        <v>228</v>
      </c>
      <c r="K8" s="41" t="s">
        <v>229</v>
      </c>
      <c r="L8" s="79" t="s">
        <v>525</v>
      </c>
      <c r="M8" s="119">
        <f t="shared" ref="M8:M39" si="0">$M$7</f>
        <v>46155</v>
      </c>
      <c r="N8" s="117"/>
      <c r="O8" s="26"/>
    </row>
    <row r="9" spans="2:15" ht="37.5" x14ac:dyDescent="0.4">
      <c r="B9" s="42">
        <v>3</v>
      </c>
      <c r="C9" s="43" t="s">
        <v>521</v>
      </c>
      <c r="D9" s="10" t="s">
        <v>220</v>
      </c>
      <c r="E9" s="10" t="s">
        <v>221</v>
      </c>
      <c r="F9" s="10" t="s">
        <v>230</v>
      </c>
      <c r="G9" s="10" t="s">
        <v>16</v>
      </c>
      <c r="H9" s="10" t="s">
        <v>231</v>
      </c>
      <c r="I9" s="10" t="s">
        <v>232</v>
      </c>
      <c r="J9" s="10"/>
      <c r="K9" s="33" t="s">
        <v>233</v>
      </c>
      <c r="L9" s="60" t="s">
        <v>525</v>
      </c>
      <c r="M9" s="68">
        <f t="shared" si="0"/>
        <v>46155</v>
      </c>
      <c r="N9" s="33"/>
      <c r="O9" s="10"/>
    </row>
    <row r="10" spans="2:15" ht="57" thickBot="1" x14ac:dyDescent="0.45">
      <c r="B10" s="42">
        <v>4</v>
      </c>
      <c r="C10" s="44" t="s">
        <v>521</v>
      </c>
      <c r="D10" s="7" t="s">
        <v>220</v>
      </c>
      <c r="E10" s="7" t="s">
        <v>221</v>
      </c>
      <c r="F10" s="7" t="s">
        <v>234</v>
      </c>
      <c r="G10" s="7" t="s">
        <v>16</v>
      </c>
      <c r="H10" s="7" t="s">
        <v>235</v>
      </c>
      <c r="I10" s="7" t="s">
        <v>236</v>
      </c>
      <c r="J10" s="7" t="s">
        <v>237</v>
      </c>
      <c r="K10" s="32" t="s">
        <v>238</v>
      </c>
      <c r="L10" s="61" t="s">
        <v>525</v>
      </c>
      <c r="M10" s="57">
        <f t="shared" si="0"/>
        <v>46155</v>
      </c>
      <c r="N10" s="32"/>
      <c r="O10" s="10"/>
    </row>
    <row r="11" spans="2:15" x14ac:dyDescent="0.4">
      <c r="B11" s="42">
        <v>5</v>
      </c>
      <c r="C11" s="45" t="s">
        <v>521</v>
      </c>
      <c r="D11" s="4" t="s">
        <v>220</v>
      </c>
      <c r="E11" s="4" t="s">
        <v>221</v>
      </c>
      <c r="F11" s="4" t="s">
        <v>239</v>
      </c>
      <c r="G11" s="4" t="s">
        <v>16</v>
      </c>
      <c r="H11" s="4" t="s">
        <v>240</v>
      </c>
      <c r="I11" s="4" t="s">
        <v>241</v>
      </c>
      <c r="J11" s="4" t="s">
        <v>242</v>
      </c>
      <c r="K11" s="31" t="s">
        <v>243</v>
      </c>
      <c r="L11" s="62" t="s">
        <v>525</v>
      </c>
      <c r="M11" s="56">
        <f t="shared" si="0"/>
        <v>46155</v>
      </c>
      <c r="N11" s="31"/>
      <c r="O11" s="10"/>
    </row>
    <row r="12" spans="2:15" ht="37.5" x14ac:dyDescent="0.4">
      <c r="B12" s="42">
        <v>6</v>
      </c>
      <c r="C12" s="43" t="s">
        <v>521</v>
      </c>
      <c r="D12" s="10" t="s">
        <v>220</v>
      </c>
      <c r="E12" s="10" t="s">
        <v>221</v>
      </c>
      <c r="F12" s="10" t="s">
        <v>239</v>
      </c>
      <c r="G12" s="10" t="s">
        <v>16</v>
      </c>
      <c r="H12" s="10" t="s">
        <v>240</v>
      </c>
      <c r="I12" s="10" t="s">
        <v>244</v>
      </c>
      <c r="J12" s="10" t="s">
        <v>245</v>
      </c>
      <c r="K12" s="33" t="s">
        <v>246</v>
      </c>
      <c r="L12" s="60" t="s">
        <v>525</v>
      </c>
      <c r="M12" s="68">
        <f t="shared" si="0"/>
        <v>46155</v>
      </c>
      <c r="N12" s="33"/>
      <c r="O12" s="10"/>
    </row>
    <row r="13" spans="2:15" x14ac:dyDescent="0.4">
      <c r="B13" s="42">
        <v>7</v>
      </c>
      <c r="C13" s="43" t="s">
        <v>521</v>
      </c>
      <c r="D13" s="10" t="s">
        <v>220</v>
      </c>
      <c r="E13" s="10" t="s">
        <v>221</v>
      </c>
      <c r="F13" s="10" t="s">
        <v>239</v>
      </c>
      <c r="G13" s="10" t="s">
        <v>16</v>
      </c>
      <c r="H13" s="10" t="s">
        <v>240</v>
      </c>
      <c r="I13" s="10" t="s">
        <v>247</v>
      </c>
      <c r="J13" s="10" t="s">
        <v>248</v>
      </c>
      <c r="K13" s="33" t="s">
        <v>249</v>
      </c>
      <c r="L13" s="60" t="s">
        <v>525</v>
      </c>
      <c r="M13" s="68">
        <f t="shared" si="0"/>
        <v>46155</v>
      </c>
      <c r="N13" s="33"/>
      <c r="O13" s="10"/>
    </row>
    <row r="14" spans="2:15" ht="37.5" x14ac:dyDescent="0.4">
      <c r="B14" s="42">
        <v>8</v>
      </c>
      <c r="C14" s="43" t="s">
        <v>521</v>
      </c>
      <c r="D14" s="10" t="s">
        <v>220</v>
      </c>
      <c r="E14" s="10" t="s">
        <v>221</v>
      </c>
      <c r="F14" s="10" t="s">
        <v>239</v>
      </c>
      <c r="G14" s="10" t="s">
        <v>16</v>
      </c>
      <c r="H14" s="10" t="s">
        <v>240</v>
      </c>
      <c r="I14" s="10" t="s">
        <v>250</v>
      </c>
      <c r="J14" s="10" t="s">
        <v>251</v>
      </c>
      <c r="K14" s="33" t="s">
        <v>252</v>
      </c>
      <c r="L14" s="60" t="s">
        <v>525</v>
      </c>
      <c r="M14" s="68">
        <f t="shared" si="0"/>
        <v>46155</v>
      </c>
      <c r="N14" s="33"/>
      <c r="O14" s="10"/>
    </row>
    <row r="15" spans="2:15" ht="37.5" x14ac:dyDescent="0.4">
      <c r="B15" s="42">
        <v>9</v>
      </c>
      <c r="C15" s="43" t="s">
        <v>521</v>
      </c>
      <c r="D15" s="10" t="s">
        <v>220</v>
      </c>
      <c r="E15" s="10" t="s">
        <v>221</v>
      </c>
      <c r="F15" s="10" t="s">
        <v>239</v>
      </c>
      <c r="G15" s="10" t="s">
        <v>16</v>
      </c>
      <c r="H15" s="10" t="s">
        <v>240</v>
      </c>
      <c r="I15" s="17" t="s">
        <v>537</v>
      </c>
      <c r="J15" s="17" t="s">
        <v>538</v>
      </c>
      <c r="K15" s="33" t="s">
        <v>253</v>
      </c>
      <c r="L15" s="72" t="s">
        <v>525</v>
      </c>
      <c r="M15" s="68">
        <f t="shared" si="0"/>
        <v>46155</v>
      </c>
      <c r="N15" s="33" t="s">
        <v>527</v>
      </c>
      <c r="O15" s="10" t="s">
        <v>844</v>
      </c>
    </row>
    <row r="16" spans="2:15" ht="38.25" thickBot="1" x14ac:dyDescent="0.45">
      <c r="B16" s="42">
        <v>10</v>
      </c>
      <c r="C16" s="46" t="s">
        <v>521</v>
      </c>
      <c r="D16" s="18" t="s">
        <v>220</v>
      </c>
      <c r="E16" s="18" t="s">
        <v>221</v>
      </c>
      <c r="F16" s="18" t="s">
        <v>239</v>
      </c>
      <c r="G16" s="18" t="s">
        <v>16</v>
      </c>
      <c r="H16" s="18" t="s">
        <v>240</v>
      </c>
      <c r="I16" s="19" t="s">
        <v>539</v>
      </c>
      <c r="J16" s="19" t="s">
        <v>540</v>
      </c>
      <c r="K16" s="40" t="s">
        <v>254</v>
      </c>
      <c r="L16" s="133" t="s">
        <v>525</v>
      </c>
      <c r="M16" s="69">
        <f t="shared" si="0"/>
        <v>46155</v>
      </c>
      <c r="N16" s="40" t="s">
        <v>528</v>
      </c>
      <c r="O16" s="10" t="s">
        <v>844</v>
      </c>
    </row>
    <row r="17" spans="2:15" ht="37.5" x14ac:dyDescent="0.4">
      <c r="B17" s="42">
        <v>11</v>
      </c>
      <c r="C17" s="47" t="s">
        <v>521</v>
      </c>
      <c r="D17" s="4" t="s">
        <v>220</v>
      </c>
      <c r="E17" s="4" t="s">
        <v>221</v>
      </c>
      <c r="F17" s="4" t="s">
        <v>239</v>
      </c>
      <c r="G17" s="4" t="s">
        <v>16</v>
      </c>
      <c r="H17" s="4" t="s">
        <v>255</v>
      </c>
      <c r="I17" s="4" t="s">
        <v>256</v>
      </c>
      <c r="J17" s="16" t="s">
        <v>257</v>
      </c>
      <c r="K17" s="35" t="s">
        <v>512</v>
      </c>
      <c r="L17" s="75" t="s">
        <v>525</v>
      </c>
      <c r="M17" s="66">
        <f t="shared" si="0"/>
        <v>46155</v>
      </c>
      <c r="N17" s="31"/>
      <c r="O17" s="10"/>
    </row>
    <row r="18" spans="2:15" x14ac:dyDescent="0.4">
      <c r="B18" s="42">
        <v>12</v>
      </c>
      <c r="C18" s="43" t="s">
        <v>521</v>
      </c>
      <c r="D18" s="10" t="s">
        <v>220</v>
      </c>
      <c r="E18" s="10" t="s">
        <v>221</v>
      </c>
      <c r="F18" s="10" t="s">
        <v>239</v>
      </c>
      <c r="G18" s="10" t="s">
        <v>16</v>
      </c>
      <c r="H18" s="10" t="s">
        <v>255</v>
      </c>
      <c r="I18" s="10" t="s">
        <v>258</v>
      </c>
      <c r="J18" s="10" t="s">
        <v>259</v>
      </c>
      <c r="K18" s="33" t="s">
        <v>513</v>
      </c>
      <c r="L18" s="60" t="s">
        <v>525</v>
      </c>
      <c r="M18" s="68">
        <f t="shared" si="0"/>
        <v>46155</v>
      </c>
      <c r="N18" s="33"/>
      <c r="O18" s="10"/>
    </row>
    <row r="19" spans="2:15" ht="37.5" x14ac:dyDescent="0.4">
      <c r="B19" s="42">
        <v>13</v>
      </c>
      <c r="C19" s="43" t="s">
        <v>521</v>
      </c>
      <c r="D19" s="10" t="s">
        <v>220</v>
      </c>
      <c r="E19" s="10" t="s">
        <v>221</v>
      </c>
      <c r="F19" s="10" t="s">
        <v>239</v>
      </c>
      <c r="G19" s="10" t="s">
        <v>16</v>
      </c>
      <c r="H19" s="10" t="s">
        <v>255</v>
      </c>
      <c r="I19" s="10" t="s">
        <v>258</v>
      </c>
      <c r="J19" s="10" t="s">
        <v>260</v>
      </c>
      <c r="K19" s="33" t="s">
        <v>513</v>
      </c>
      <c r="L19" s="60" t="s">
        <v>525</v>
      </c>
      <c r="M19" s="68">
        <f t="shared" si="0"/>
        <v>46155</v>
      </c>
      <c r="N19" s="33"/>
      <c r="O19" s="10"/>
    </row>
    <row r="20" spans="2:15" ht="37.5" x14ac:dyDescent="0.4">
      <c r="B20" s="42">
        <v>14</v>
      </c>
      <c r="C20" s="43" t="s">
        <v>521</v>
      </c>
      <c r="D20" s="10" t="s">
        <v>220</v>
      </c>
      <c r="E20" s="10" t="s">
        <v>221</v>
      </c>
      <c r="F20" s="10" t="s">
        <v>239</v>
      </c>
      <c r="G20" s="10" t="s">
        <v>16</v>
      </c>
      <c r="H20" s="10" t="s">
        <v>255</v>
      </c>
      <c r="I20" s="10" t="s">
        <v>261</v>
      </c>
      <c r="J20" s="10" t="s">
        <v>262</v>
      </c>
      <c r="K20" s="33" t="s">
        <v>514</v>
      </c>
      <c r="L20" s="72" t="s">
        <v>525</v>
      </c>
      <c r="M20" s="68">
        <f t="shared" si="0"/>
        <v>46155</v>
      </c>
      <c r="N20" s="33"/>
      <c r="O20" s="10"/>
    </row>
    <row r="21" spans="2:15" ht="37.5" x14ac:dyDescent="0.4">
      <c r="B21" s="42">
        <v>15</v>
      </c>
      <c r="C21" s="43" t="s">
        <v>521</v>
      </c>
      <c r="D21" s="10" t="s">
        <v>220</v>
      </c>
      <c r="E21" s="10" t="s">
        <v>221</v>
      </c>
      <c r="F21" s="10" t="s">
        <v>239</v>
      </c>
      <c r="G21" s="10" t="s">
        <v>16</v>
      </c>
      <c r="H21" s="10" t="s">
        <v>255</v>
      </c>
      <c r="I21" s="10" t="s">
        <v>261</v>
      </c>
      <c r="J21" s="10" t="s">
        <v>263</v>
      </c>
      <c r="K21" s="33" t="s">
        <v>514</v>
      </c>
      <c r="L21" s="72" t="s">
        <v>525</v>
      </c>
      <c r="M21" s="68">
        <f t="shared" si="0"/>
        <v>46155</v>
      </c>
      <c r="N21" s="33"/>
      <c r="O21" s="10"/>
    </row>
    <row r="22" spans="2:15" ht="37.5" x14ac:dyDescent="0.4">
      <c r="B22" s="42">
        <v>16</v>
      </c>
      <c r="C22" s="43" t="s">
        <v>521</v>
      </c>
      <c r="D22" s="10" t="s">
        <v>220</v>
      </c>
      <c r="E22" s="10" t="s">
        <v>221</v>
      </c>
      <c r="F22" s="10" t="s">
        <v>239</v>
      </c>
      <c r="G22" s="10" t="s">
        <v>16</v>
      </c>
      <c r="H22" s="10" t="s">
        <v>255</v>
      </c>
      <c r="I22" s="10" t="s">
        <v>264</v>
      </c>
      <c r="J22" s="10" t="s">
        <v>265</v>
      </c>
      <c r="K22" s="33" t="s">
        <v>515</v>
      </c>
      <c r="L22" s="60" t="s">
        <v>525</v>
      </c>
      <c r="M22" s="68">
        <f t="shared" si="0"/>
        <v>46155</v>
      </c>
      <c r="N22" s="33"/>
      <c r="O22" s="10"/>
    </row>
    <row r="23" spans="2:15" ht="37.5" x14ac:dyDescent="0.4">
      <c r="B23" s="42">
        <v>17</v>
      </c>
      <c r="C23" s="43" t="s">
        <v>521</v>
      </c>
      <c r="D23" s="10" t="s">
        <v>220</v>
      </c>
      <c r="E23" s="10" t="s">
        <v>221</v>
      </c>
      <c r="F23" s="10" t="s">
        <v>239</v>
      </c>
      <c r="G23" s="10" t="s">
        <v>16</v>
      </c>
      <c r="H23" s="10" t="s">
        <v>255</v>
      </c>
      <c r="I23" s="10" t="s">
        <v>264</v>
      </c>
      <c r="J23" s="10" t="s">
        <v>266</v>
      </c>
      <c r="K23" s="33" t="s">
        <v>515</v>
      </c>
      <c r="L23" s="60" t="s">
        <v>525</v>
      </c>
      <c r="M23" s="68">
        <f t="shared" si="0"/>
        <v>46155</v>
      </c>
      <c r="N23" s="33"/>
      <c r="O23" s="10"/>
    </row>
    <row r="24" spans="2:15" ht="37.5" x14ac:dyDescent="0.4">
      <c r="B24" s="42">
        <v>18</v>
      </c>
      <c r="C24" s="43" t="s">
        <v>521</v>
      </c>
      <c r="D24" s="10" t="s">
        <v>220</v>
      </c>
      <c r="E24" s="10" t="s">
        <v>221</v>
      </c>
      <c r="F24" s="10" t="s">
        <v>239</v>
      </c>
      <c r="G24" s="10" t="s">
        <v>16</v>
      </c>
      <c r="H24" s="10" t="s">
        <v>255</v>
      </c>
      <c r="I24" s="10" t="s">
        <v>267</v>
      </c>
      <c r="J24" s="10" t="s">
        <v>268</v>
      </c>
      <c r="K24" s="33" t="s">
        <v>515</v>
      </c>
      <c r="L24" s="60" t="s">
        <v>525</v>
      </c>
      <c r="M24" s="68">
        <f t="shared" si="0"/>
        <v>46155</v>
      </c>
      <c r="N24" s="33"/>
      <c r="O24" s="10"/>
    </row>
    <row r="25" spans="2:15" ht="37.5" x14ac:dyDescent="0.4">
      <c r="B25" s="42">
        <v>19</v>
      </c>
      <c r="C25" s="43" t="s">
        <v>521</v>
      </c>
      <c r="D25" s="10" t="s">
        <v>220</v>
      </c>
      <c r="E25" s="10" t="s">
        <v>221</v>
      </c>
      <c r="F25" s="10" t="s">
        <v>239</v>
      </c>
      <c r="G25" s="10" t="s">
        <v>16</v>
      </c>
      <c r="H25" s="10" t="s">
        <v>255</v>
      </c>
      <c r="I25" s="10" t="s">
        <v>267</v>
      </c>
      <c r="J25" s="10" t="s">
        <v>269</v>
      </c>
      <c r="K25" s="33" t="s">
        <v>515</v>
      </c>
      <c r="L25" s="60" t="s">
        <v>525</v>
      </c>
      <c r="M25" s="68">
        <f t="shared" si="0"/>
        <v>46155</v>
      </c>
      <c r="N25" s="33"/>
      <c r="O25" s="10"/>
    </row>
    <row r="26" spans="2:15" ht="37.5" x14ac:dyDescent="0.4">
      <c r="B26" s="42">
        <v>20</v>
      </c>
      <c r="C26" s="43" t="s">
        <v>521</v>
      </c>
      <c r="D26" s="10" t="s">
        <v>220</v>
      </c>
      <c r="E26" s="10" t="s">
        <v>221</v>
      </c>
      <c r="F26" s="10" t="s">
        <v>239</v>
      </c>
      <c r="G26" s="10" t="s">
        <v>16</v>
      </c>
      <c r="H26" s="10" t="s">
        <v>255</v>
      </c>
      <c r="I26" s="10" t="s">
        <v>270</v>
      </c>
      <c r="J26" s="10" t="s">
        <v>271</v>
      </c>
      <c r="K26" s="33" t="s">
        <v>516</v>
      </c>
      <c r="L26" s="60" t="s">
        <v>525</v>
      </c>
      <c r="M26" s="68">
        <f t="shared" si="0"/>
        <v>46155</v>
      </c>
      <c r="N26" s="33"/>
      <c r="O26" s="10"/>
    </row>
    <row r="27" spans="2:15" ht="37.5" x14ac:dyDescent="0.4">
      <c r="B27" s="42">
        <v>21</v>
      </c>
      <c r="C27" s="43" t="s">
        <v>521</v>
      </c>
      <c r="D27" s="10" t="s">
        <v>220</v>
      </c>
      <c r="E27" s="10" t="s">
        <v>221</v>
      </c>
      <c r="F27" s="10" t="s">
        <v>239</v>
      </c>
      <c r="G27" s="10" t="s">
        <v>16</v>
      </c>
      <c r="H27" s="10" t="s">
        <v>255</v>
      </c>
      <c r="I27" s="10" t="s">
        <v>270</v>
      </c>
      <c r="J27" s="10" t="s">
        <v>272</v>
      </c>
      <c r="K27" s="33" t="s">
        <v>516</v>
      </c>
      <c r="L27" s="60" t="s">
        <v>525</v>
      </c>
      <c r="M27" s="68">
        <f t="shared" si="0"/>
        <v>46155</v>
      </c>
      <c r="N27" s="33"/>
      <c r="O27" s="10"/>
    </row>
    <row r="28" spans="2:15" ht="37.5" x14ac:dyDescent="0.4">
      <c r="B28" s="42">
        <v>22</v>
      </c>
      <c r="C28" s="43" t="s">
        <v>521</v>
      </c>
      <c r="D28" s="10" t="s">
        <v>220</v>
      </c>
      <c r="E28" s="10" t="s">
        <v>221</v>
      </c>
      <c r="F28" s="10" t="s">
        <v>239</v>
      </c>
      <c r="G28" s="10" t="s">
        <v>16</v>
      </c>
      <c r="H28" s="10" t="s">
        <v>255</v>
      </c>
      <c r="I28" s="10" t="s">
        <v>273</v>
      </c>
      <c r="J28" s="10" t="s">
        <v>274</v>
      </c>
      <c r="K28" s="33" t="s">
        <v>517</v>
      </c>
      <c r="L28" s="60" t="s">
        <v>525</v>
      </c>
      <c r="M28" s="68">
        <f t="shared" si="0"/>
        <v>46155</v>
      </c>
      <c r="N28" s="33"/>
      <c r="O28" s="10"/>
    </row>
    <row r="29" spans="2:15" ht="37.5" x14ac:dyDescent="0.4">
      <c r="B29" s="42">
        <v>23</v>
      </c>
      <c r="C29" s="43" t="s">
        <v>521</v>
      </c>
      <c r="D29" s="10" t="s">
        <v>220</v>
      </c>
      <c r="E29" s="10" t="s">
        <v>221</v>
      </c>
      <c r="F29" s="10" t="s">
        <v>239</v>
      </c>
      <c r="G29" s="10" t="s">
        <v>16</v>
      </c>
      <c r="H29" s="10" t="s">
        <v>255</v>
      </c>
      <c r="I29" s="10" t="s">
        <v>273</v>
      </c>
      <c r="J29" s="10" t="s">
        <v>275</v>
      </c>
      <c r="K29" s="33" t="s">
        <v>517</v>
      </c>
      <c r="L29" s="60" t="s">
        <v>525</v>
      </c>
      <c r="M29" s="68">
        <f t="shared" si="0"/>
        <v>46155</v>
      </c>
      <c r="N29" s="33"/>
      <c r="O29" s="10"/>
    </row>
    <row r="30" spans="2:15" ht="37.5" x14ac:dyDescent="0.4">
      <c r="B30" s="42">
        <v>24</v>
      </c>
      <c r="C30" s="43" t="s">
        <v>521</v>
      </c>
      <c r="D30" s="10" t="s">
        <v>220</v>
      </c>
      <c r="E30" s="10" t="s">
        <v>221</v>
      </c>
      <c r="F30" s="10" t="s">
        <v>239</v>
      </c>
      <c r="G30" s="10" t="s">
        <v>16</v>
      </c>
      <c r="H30" s="10" t="s">
        <v>255</v>
      </c>
      <c r="I30" s="10" t="s">
        <v>276</v>
      </c>
      <c r="J30" s="10" t="s">
        <v>277</v>
      </c>
      <c r="K30" s="33" t="s">
        <v>278</v>
      </c>
      <c r="L30" s="60" t="s">
        <v>525</v>
      </c>
      <c r="M30" s="68">
        <f t="shared" si="0"/>
        <v>46155</v>
      </c>
      <c r="N30" s="33"/>
      <c r="O30" s="10"/>
    </row>
    <row r="31" spans="2:15" ht="38.25" thickBot="1" x14ac:dyDescent="0.45">
      <c r="B31" s="42">
        <v>25</v>
      </c>
      <c r="C31" s="44" t="s">
        <v>521</v>
      </c>
      <c r="D31" s="7" t="s">
        <v>220</v>
      </c>
      <c r="E31" s="7" t="s">
        <v>221</v>
      </c>
      <c r="F31" s="7" t="s">
        <v>239</v>
      </c>
      <c r="G31" s="7" t="s">
        <v>16</v>
      </c>
      <c r="H31" s="7" t="s">
        <v>255</v>
      </c>
      <c r="I31" s="7" t="s">
        <v>276</v>
      </c>
      <c r="J31" s="7" t="s">
        <v>279</v>
      </c>
      <c r="K31" s="32" t="s">
        <v>278</v>
      </c>
      <c r="L31" s="61" t="s">
        <v>525</v>
      </c>
      <c r="M31" s="57">
        <f t="shared" si="0"/>
        <v>46155</v>
      </c>
      <c r="N31" s="32"/>
      <c r="O31" s="10"/>
    </row>
    <row r="32" spans="2:15" ht="37.5" x14ac:dyDescent="0.4">
      <c r="B32" s="42">
        <v>26</v>
      </c>
      <c r="C32" s="45" t="s">
        <v>521</v>
      </c>
      <c r="D32" s="4" t="s">
        <v>220</v>
      </c>
      <c r="E32" s="4" t="s">
        <v>221</v>
      </c>
      <c r="F32" s="4" t="s">
        <v>280</v>
      </c>
      <c r="G32" s="4" t="s">
        <v>16</v>
      </c>
      <c r="H32" s="4" t="s">
        <v>281</v>
      </c>
      <c r="I32" s="4" t="s">
        <v>282</v>
      </c>
      <c r="J32" s="4" t="s">
        <v>237</v>
      </c>
      <c r="K32" s="31" t="s">
        <v>283</v>
      </c>
      <c r="L32" s="62" t="s">
        <v>525</v>
      </c>
      <c r="M32" s="56">
        <f t="shared" si="0"/>
        <v>46155</v>
      </c>
      <c r="N32" s="31"/>
      <c r="O32" s="10"/>
    </row>
    <row r="33" spans="2:15" ht="56.25" x14ac:dyDescent="0.4">
      <c r="B33" s="42">
        <v>27</v>
      </c>
      <c r="C33" s="43" t="s">
        <v>521</v>
      </c>
      <c r="D33" s="10" t="s">
        <v>220</v>
      </c>
      <c r="E33" s="10" t="s">
        <v>221</v>
      </c>
      <c r="F33" s="10" t="s">
        <v>280</v>
      </c>
      <c r="G33" s="10" t="s">
        <v>16</v>
      </c>
      <c r="H33" s="10" t="s">
        <v>281</v>
      </c>
      <c r="I33" s="10" t="s">
        <v>284</v>
      </c>
      <c r="J33" s="17" t="s">
        <v>147</v>
      </c>
      <c r="K33" s="37" t="s">
        <v>285</v>
      </c>
      <c r="L33" s="76" t="s">
        <v>525</v>
      </c>
      <c r="M33" s="67">
        <f t="shared" si="0"/>
        <v>46155</v>
      </c>
      <c r="N33" s="33"/>
      <c r="O33" s="10"/>
    </row>
    <row r="34" spans="2:15" x14ac:dyDescent="0.4">
      <c r="B34" s="42">
        <v>28</v>
      </c>
      <c r="C34" s="43" t="s">
        <v>521</v>
      </c>
      <c r="D34" s="10" t="s">
        <v>220</v>
      </c>
      <c r="E34" s="10" t="s">
        <v>221</v>
      </c>
      <c r="F34" s="10" t="s">
        <v>286</v>
      </c>
      <c r="G34" s="10" t="s">
        <v>16</v>
      </c>
      <c r="H34" s="10" t="s">
        <v>287</v>
      </c>
      <c r="I34" s="10" t="s">
        <v>282</v>
      </c>
      <c r="J34" s="10" t="s">
        <v>288</v>
      </c>
      <c r="K34" s="33" t="s">
        <v>289</v>
      </c>
      <c r="L34" s="60" t="s">
        <v>525</v>
      </c>
      <c r="M34" s="68">
        <f t="shared" si="0"/>
        <v>46155</v>
      </c>
      <c r="N34" s="33"/>
      <c r="O34" s="10"/>
    </row>
    <row r="35" spans="2:15" x14ac:dyDescent="0.4">
      <c r="B35" s="42">
        <v>29</v>
      </c>
      <c r="C35" s="43" t="s">
        <v>521</v>
      </c>
      <c r="D35" s="10" t="s">
        <v>220</v>
      </c>
      <c r="E35" s="10" t="s">
        <v>221</v>
      </c>
      <c r="F35" s="10" t="s">
        <v>290</v>
      </c>
      <c r="G35" s="10" t="s">
        <v>16</v>
      </c>
      <c r="H35" s="10" t="s">
        <v>287</v>
      </c>
      <c r="I35" s="10" t="s">
        <v>282</v>
      </c>
      <c r="J35" s="10" t="s">
        <v>291</v>
      </c>
      <c r="K35" s="33" t="s">
        <v>292</v>
      </c>
      <c r="L35" s="60" t="s">
        <v>525</v>
      </c>
      <c r="M35" s="68">
        <f t="shared" si="0"/>
        <v>46155</v>
      </c>
      <c r="N35" s="33"/>
      <c r="O35" s="10"/>
    </row>
    <row r="36" spans="2:15" x14ac:dyDescent="0.4">
      <c r="B36" s="42">
        <v>30</v>
      </c>
      <c r="C36" s="43" t="s">
        <v>521</v>
      </c>
      <c r="D36" s="10" t="s">
        <v>220</v>
      </c>
      <c r="E36" s="10" t="s">
        <v>221</v>
      </c>
      <c r="F36" s="10" t="s">
        <v>293</v>
      </c>
      <c r="G36" s="10" t="s">
        <v>16</v>
      </c>
      <c r="H36" s="10" t="s">
        <v>287</v>
      </c>
      <c r="I36" s="10" t="s">
        <v>282</v>
      </c>
      <c r="J36" s="10" t="s">
        <v>294</v>
      </c>
      <c r="K36" s="33" t="s">
        <v>295</v>
      </c>
      <c r="L36" s="60" t="s">
        <v>525</v>
      </c>
      <c r="M36" s="68">
        <f t="shared" si="0"/>
        <v>46155</v>
      </c>
      <c r="N36" s="33"/>
      <c r="O36" s="10"/>
    </row>
    <row r="37" spans="2:15" x14ac:dyDescent="0.4">
      <c r="B37" s="42">
        <v>31</v>
      </c>
      <c r="C37" s="43" t="s">
        <v>521</v>
      </c>
      <c r="D37" s="10" t="s">
        <v>220</v>
      </c>
      <c r="E37" s="10" t="s">
        <v>221</v>
      </c>
      <c r="F37" s="10" t="s">
        <v>296</v>
      </c>
      <c r="G37" s="10" t="s">
        <v>16</v>
      </c>
      <c r="H37" s="10" t="s">
        <v>287</v>
      </c>
      <c r="I37" s="10" t="s">
        <v>282</v>
      </c>
      <c r="J37" s="10" t="s">
        <v>297</v>
      </c>
      <c r="K37" s="33" t="s">
        <v>298</v>
      </c>
      <c r="L37" s="60" t="s">
        <v>525</v>
      </c>
      <c r="M37" s="68">
        <f t="shared" si="0"/>
        <v>46155</v>
      </c>
      <c r="N37" s="33"/>
      <c r="O37" s="10"/>
    </row>
    <row r="38" spans="2:15" ht="19.5" thickBot="1" x14ac:dyDescent="0.45">
      <c r="B38" s="42">
        <v>32</v>
      </c>
      <c r="C38" s="44" t="s">
        <v>521</v>
      </c>
      <c r="D38" s="7" t="s">
        <v>220</v>
      </c>
      <c r="E38" s="7" t="s">
        <v>221</v>
      </c>
      <c r="F38" s="7" t="s">
        <v>299</v>
      </c>
      <c r="G38" s="7" t="s">
        <v>16</v>
      </c>
      <c r="H38" s="7" t="s">
        <v>287</v>
      </c>
      <c r="I38" s="7" t="s">
        <v>282</v>
      </c>
      <c r="J38" s="12" t="s">
        <v>300</v>
      </c>
      <c r="K38" s="34" t="s">
        <v>301</v>
      </c>
      <c r="L38" s="63" t="s">
        <v>525</v>
      </c>
      <c r="M38" s="70">
        <f t="shared" si="0"/>
        <v>46155</v>
      </c>
      <c r="N38" s="32"/>
      <c r="O38" s="10"/>
    </row>
    <row r="39" spans="2:15" ht="56.25" x14ac:dyDescent="0.4">
      <c r="B39" s="42">
        <v>33</v>
      </c>
      <c r="C39" s="45" t="s">
        <v>521</v>
      </c>
      <c r="D39" s="4" t="s">
        <v>220</v>
      </c>
      <c r="E39" s="4" t="s">
        <v>221</v>
      </c>
      <c r="F39" s="4" t="s">
        <v>302</v>
      </c>
      <c r="G39" s="4" t="s">
        <v>16</v>
      </c>
      <c r="H39" s="4" t="s">
        <v>287</v>
      </c>
      <c r="I39" s="4" t="s">
        <v>282</v>
      </c>
      <c r="J39" s="4" t="s">
        <v>303</v>
      </c>
      <c r="K39" s="31" t="s">
        <v>304</v>
      </c>
      <c r="L39" s="62" t="s">
        <v>525</v>
      </c>
      <c r="M39" s="56">
        <f t="shared" si="0"/>
        <v>46155</v>
      </c>
      <c r="N39" s="31"/>
      <c r="O39" s="10"/>
    </row>
    <row r="40" spans="2:15" ht="37.5" x14ac:dyDescent="0.4">
      <c r="B40" s="42">
        <v>34</v>
      </c>
      <c r="C40" s="43" t="s">
        <v>521</v>
      </c>
      <c r="D40" s="10" t="s">
        <v>220</v>
      </c>
      <c r="E40" s="10" t="s">
        <v>305</v>
      </c>
      <c r="F40" s="10" t="s">
        <v>306</v>
      </c>
      <c r="G40" s="10" t="s">
        <v>16</v>
      </c>
      <c r="H40" s="10" t="s">
        <v>307</v>
      </c>
      <c r="I40" s="10" t="s">
        <v>282</v>
      </c>
      <c r="J40" s="10" t="s">
        <v>308</v>
      </c>
      <c r="K40" s="33" t="s">
        <v>309</v>
      </c>
      <c r="L40" s="60" t="s">
        <v>525</v>
      </c>
      <c r="M40" s="68">
        <f t="shared" ref="M40:M76" si="1">$M$7</f>
        <v>46155</v>
      </c>
      <c r="N40" s="33"/>
      <c r="O40" s="10"/>
    </row>
    <row r="41" spans="2:15" ht="38.25" thickBot="1" x14ac:dyDescent="0.45">
      <c r="B41" s="42">
        <v>35</v>
      </c>
      <c r="C41" s="44" t="s">
        <v>521</v>
      </c>
      <c r="D41" s="7" t="s">
        <v>220</v>
      </c>
      <c r="E41" s="7" t="s">
        <v>305</v>
      </c>
      <c r="F41" s="7" t="s">
        <v>310</v>
      </c>
      <c r="G41" s="7" t="s">
        <v>16</v>
      </c>
      <c r="H41" s="7" t="s">
        <v>307</v>
      </c>
      <c r="I41" s="7" t="s">
        <v>282</v>
      </c>
      <c r="J41" s="7" t="s">
        <v>311</v>
      </c>
      <c r="K41" s="32" t="s">
        <v>312</v>
      </c>
      <c r="L41" s="61" t="s">
        <v>525</v>
      </c>
      <c r="M41" s="57">
        <f t="shared" si="1"/>
        <v>46155</v>
      </c>
      <c r="N41" s="32"/>
      <c r="O41" s="10"/>
    </row>
    <row r="42" spans="2:15" x14ac:dyDescent="0.4">
      <c r="B42" s="42">
        <v>36</v>
      </c>
      <c r="C42" s="45" t="s">
        <v>521</v>
      </c>
      <c r="D42" s="4" t="s">
        <v>220</v>
      </c>
      <c r="E42" s="4" t="s">
        <v>221</v>
      </c>
      <c r="F42" s="4" t="s">
        <v>313</v>
      </c>
      <c r="G42" s="4" t="s">
        <v>16</v>
      </c>
      <c r="H42" s="4" t="s">
        <v>287</v>
      </c>
      <c r="I42" s="4"/>
      <c r="J42" s="4" t="s">
        <v>314</v>
      </c>
      <c r="K42" s="31" t="s">
        <v>315</v>
      </c>
      <c r="L42" s="62" t="s">
        <v>525</v>
      </c>
      <c r="M42" s="56">
        <f t="shared" si="1"/>
        <v>46155</v>
      </c>
      <c r="N42" s="31"/>
      <c r="O42" s="10"/>
    </row>
    <row r="43" spans="2:15" ht="37.5" x14ac:dyDescent="0.4">
      <c r="B43" s="42">
        <v>37</v>
      </c>
      <c r="C43" s="43" t="s">
        <v>521</v>
      </c>
      <c r="D43" s="10" t="s">
        <v>220</v>
      </c>
      <c r="E43" s="10" t="s">
        <v>316</v>
      </c>
      <c r="F43" s="10" t="s">
        <v>317</v>
      </c>
      <c r="G43" s="10" t="s">
        <v>16</v>
      </c>
      <c r="H43" s="10" t="s">
        <v>318</v>
      </c>
      <c r="I43" s="10"/>
      <c r="J43" s="10"/>
      <c r="K43" s="33" t="s">
        <v>318</v>
      </c>
      <c r="L43" s="72" t="s">
        <v>525</v>
      </c>
      <c r="M43" s="68">
        <f t="shared" si="1"/>
        <v>46155</v>
      </c>
      <c r="N43" s="37"/>
      <c r="O43" s="17"/>
    </row>
    <row r="44" spans="2:15" ht="37.5" x14ac:dyDescent="0.4">
      <c r="B44" s="42">
        <v>38</v>
      </c>
      <c r="C44" s="43" t="s">
        <v>521</v>
      </c>
      <c r="D44" s="10" t="s">
        <v>220</v>
      </c>
      <c r="E44" s="10" t="s">
        <v>316</v>
      </c>
      <c r="F44" s="10" t="s">
        <v>317</v>
      </c>
      <c r="G44" s="10" t="s">
        <v>16</v>
      </c>
      <c r="H44" s="10" t="s">
        <v>318</v>
      </c>
      <c r="I44" s="10"/>
      <c r="J44" s="10"/>
      <c r="K44" s="33" t="s">
        <v>319</v>
      </c>
      <c r="L44" s="72" t="s">
        <v>526</v>
      </c>
      <c r="M44" s="68">
        <f t="shared" si="1"/>
        <v>46155</v>
      </c>
      <c r="N44" s="37" t="s">
        <v>529</v>
      </c>
      <c r="O44" s="17"/>
    </row>
    <row r="45" spans="2:15" ht="37.5" x14ac:dyDescent="0.4">
      <c r="B45" s="42">
        <v>39</v>
      </c>
      <c r="C45" s="43" t="s">
        <v>521</v>
      </c>
      <c r="D45" s="10" t="s">
        <v>220</v>
      </c>
      <c r="E45" s="10" t="s">
        <v>316</v>
      </c>
      <c r="F45" s="10" t="s">
        <v>317</v>
      </c>
      <c r="G45" s="10" t="s">
        <v>16</v>
      </c>
      <c r="H45" s="10" t="s">
        <v>318</v>
      </c>
      <c r="I45" s="10"/>
      <c r="J45" s="10"/>
      <c r="K45" s="33" t="s">
        <v>320</v>
      </c>
      <c r="L45" s="72" t="s">
        <v>526</v>
      </c>
      <c r="M45" s="68">
        <f t="shared" si="1"/>
        <v>46155</v>
      </c>
      <c r="N45" s="37" t="s">
        <v>530</v>
      </c>
      <c r="O45" s="17"/>
    </row>
    <row r="46" spans="2:15" ht="37.5" x14ac:dyDescent="0.4">
      <c r="B46" s="42">
        <v>40</v>
      </c>
      <c r="C46" s="43" t="s">
        <v>521</v>
      </c>
      <c r="D46" s="10" t="s">
        <v>220</v>
      </c>
      <c r="E46" s="10" t="s">
        <v>316</v>
      </c>
      <c r="F46" s="10" t="s">
        <v>317</v>
      </c>
      <c r="G46" s="10" t="s">
        <v>16</v>
      </c>
      <c r="H46" s="10" t="s">
        <v>318</v>
      </c>
      <c r="I46" s="10"/>
      <c r="J46" s="10"/>
      <c r="K46" s="33" t="s">
        <v>321</v>
      </c>
      <c r="L46" s="72" t="s">
        <v>526</v>
      </c>
      <c r="M46" s="68">
        <f t="shared" si="1"/>
        <v>46155</v>
      </c>
      <c r="N46" s="37" t="s">
        <v>531</v>
      </c>
      <c r="O46" s="17"/>
    </row>
    <row r="47" spans="2:15" ht="36" customHeight="1" thickBot="1" x14ac:dyDescent="0.45">
      <c r="B47" s="42">
        <v>41</v>
      </c>
      <c r="C47" s="46" t="s">
        <v>521</v>
      </c>
      <c r="D47" s="18" t="s">
        <v>220</v>
      </c>
      <c r="E47" s="18" t="s">
        <v>316</v>
      </c>
      <c r="F47" s="18" t="s">
        <v>322</v>
      </c>
      <c r="G47" s="18" t="s">
        <v>16</v>
      </c>
      <c r="H47" s="18" t="s">
        <v>323</v>
      </c>
      <c r="I47" s="18"/>
      <c r="J47" s="18"/>
      <c r="K47" s="40" t="s">
        <v>324</v>
      </c>
      <c r="L47" s="64" t="s">
        <v>526</v>
      </c>
      <c r="M47" s="69">
        <f t="shared" si="1"/>
        <v>46155</v>
      </c>
      <c r="N47" s="38" t="s">
        <v>532</v>
      </c>
      <c r="O47" s="17"/>
    </row>
    <row r="48" spans="2:15" ht="37.5" x14ac:dyDescent="0.4">
      <c r="B48" s="42">
        <v>42</v>
      </c>
      <c r="C48" s="47" t="s">
        <v>521</v>
      </c>
      <c r="D48" s="4" t="s">
        <v>220</v>
      </c>
      <c r="E48" s="4" t="s">
        <v>316</v>
      </c>
      <c r="F48" s="4" t="s">
        <v>325</v>
      </c>
      <c r="G48" s="4" t="s">
        <v>16</v>
      </c>
      <c r="H48" s="4" t="s">
        <v>323</v>
      </c>
      <c r="I48" s="4" t="s">
        <v>326</v>
      </c>
      <c r="J48" s="4" t="s">
        <v>327</v>
      </c>
      <c r="K48" s="31" t="s">
        <v>518</v>
      </c>
      <c r="L48" s="62" t="s">
        <v>525</v>
      </c>
      <c r="M48" s="56">
        <f t="shared" si="1"/>
        <v>46155</v>
      </c>
      <c r="N48" s="31"/>
      <c r="O48" s="10"/>
    </row>
    <row r="49" spans="2:15" ht="37.5" x14ac:dyDescent="0.4">
      <c r="B49" s="42">
        <v>43</v>
      </c>
      <c r="C49" s="43" t="s">
        <v>521</v>
      </c>
      <c r="D49" s="10" t="s">
        <v>220</v>
      </c>
      <c r="E49" s="10" t="s">
        <v>316</v>
      </c>
      <c r="F49" s="10" t="s">
        <v>328</v>
      </c>
      <c r="G49" s="10" t="s">
        <v>23</v>
      </c>
      <c r="H49" s="10" t="s">
        <v>329</v>
      </c>
      <c r="I49" s="10"/>
      <c r="J49" s="10" t="s">
        <v>330</v>
      </c>
      <c r="K49" s="33" t="s">
        <v>331</v>
      </c>
      <c r="L49" s="60" t="s">
        <v>525</v>
      </c>
      <c r="M49" s="68">
        <f t="shared" si="1"/>
        <v>46155</v>
      </c>
      <c r="N49" s="33"/>
      <c r="O49" s="10"/>
    </row>
    <row r="50" spans="2:15" ht="37.5" x14ac:dyDescent="0.4">
      <c r="B50" s="42">
        <v>44</v>
      </c>
      <c r="C50" s="43" t="s">
        <v>521</v>
      </c>
      <c r="D50" s="10" t="s">
        <v>220</v>
      </c>
      <c r="E50" s="10" t="s">
        <v>316</v>
      </c>
      <c r="F50" s="10" t="s">
        <v>325</v>
      </c>
      <c r="G50" s="10" t="s">
        <v>16</v>
      </c>
      <c r="H50" s="10" t="s">
        <v>323</v>
      </c>
      <c r="I50" s="10" t="s">
        <v>332</v>
      </c>
      <c r="J50" s="10" t="s">
        <v>333</v>
      </c>
      <c r="K50" s="33" t="s">
        <v>334</v>
      </c>
      <c r="L50" s="60" t="s">
        <v>525</v>
      </c>
      <c r="M50" s="68">
        <f t="shared" si="1"/>
        <v>46155</v>
      </c>
      <c r="N50" s="33"/>
      <c r="O50" s="10"/>
    </row>
    <row r="51" spans="2:15" ht="37.5" x14ac:dyDescent="0.4">
      <c r="B51" s="42">
        <v>45</v>
      </c>
      <c r="C51" s="43" t="s">
        <v>521</v>
      </c>
      <c r="D51" s="10" t="s">
        <v>220</v>
      </c>
      <c r="E51" s="10" t="s">
        <v>316</v>
      </c>
      <c r="F51" s="10" t="s">
        <v>325</v>
      </c>
      <c r="G51" s="10" t="s">
        <v>16</v>
      </c>
      <c r="H51" s="10" t="s">
        <v>323</v>
      </c>
      <c r="I51" s="10" t="s">
        <v>335</v>
      </c>
      <c r="J51" s="10" t="s">
        <v>336</v>
      </c>
      <c r="K51" s="33" t="s">
        <v>334</v>
      </c>
      <c r="L51" s="60" t="s">
        <v>525</v>
      </c>
      <c r="M51" s="68">
        <f t="shared" si="1"/>
        <v>46155</v>
      </c>
      <c r="N51" s="33"/>
      <c r="O51" s="10"/>
    </row>
    <row r="52" spans="2:15" ht="37.5" x14ac:dyDescent="0.4">
      <c r="B52" s="42">
        <v>46</v>
      </c>
      <c r="C52" s="43" t="s">
        <v>521</v>
      </c>
      <c r="D52" s="10" t="s">
        <v>220</v>
      </c>
      <c r="E52" s="10" t="s">
        <v>316</v>
      </c>
      <c r="F52" s="10" t="s">
        <v>325</v>
      </c>
      <c r="G52" s="10" t="s">
        <v>16</v>
      </c>
      <c r="H52" s="10" t="s">
        <v>323</v>
      </c>
      <c r="I52" s="10" t="s">
        <v>335</v>
      </c>
      <c r="J52" s="10" t="s">
        <v>337</v>
      </c>
      <c r="K52" s="33" t="s">
        <v>334</v>
      </c>
      <c r="L52" s="60" t="s">
        <v>525</v>
      </c>
      <c r="M52" s="68">
        <f t="shared" si="1"/>
        <v>46155</v>
      </c>
      <c r="N52" s="33"/>
      <c r="O52" s="10"/>
    </row>
    <row r="53" spans="2:15" ht="37.5" x14ac:dyDescent="0.4">
      <c r="B53" s="42">
        <v>47</v>
      </c>
      <c r="C53" s="43" t="s">
        <v>521</v>
      </c>
      <c r="D53" s="10" t="s">
        <v>220</v>
      </c>
      <c r="E53" s="10" t="s">
        <v>338</v>
      </c>
      <c r="F53" s="10" t="s">
        <v>339</v>
      </c>
      <c r="G53" s="10" t="s">
        <v>16</v>
      </c>
      <c r="H53" s="10" t="s">
        <v>340</v>
      </c>
      <c r="I53" s="10" t="s">
        <v>326</v>
      </c>
      <c r="J53" s="10" t="s">
        <v>341</v>
      </c>
      <c r="K53" s="33" t="s">
        <v>342</v>
      </c>
      <c r="L53" s="60" t="s">
        <v>525</v>
      </c>
      <c r="M53" s="68">
        <f t="shared" si="1"/>
        <v>46155</v>
      </c>
      <c r="N53" s="33"/>
      <c r="O53" s="10"/>
    </row>
    <row r="54" spans="2:15" ht="56.25" x14ac:dyDescent="0.4">
      <c r="B54" s="42">
        <v>48</v>
      </c>
      <c r="C54" s="43" t="s">
        <v>521</v>
      </c>
      <c r="D54" s="10" t="s">
        <v>220</v>
      </c>
      <c r="E54" s="10" t="s">
        <v>338</v>
      </c>
      <c r="F54" s="10" t="s">
        <v>343</v>
      </c>
      <c r="G54" s="10" t="s">
        <v>16</v>
      </c>
      <c r="H54" s="10" t="s">
        <v>344</v>
      </c>
      <c r="I54" s="10" t="s">
        <v>345</v>
      </c>
      <c r="J54" s="10" t="s">
        <v>346</v>
      </c>
      <c r="K54" s="33" t="s">
        <v>347</v>
      </c>
      <c r="L54" s="60" t="s">
        <v>525</v>
      </c>
      <c r="M54" s="68">
        <f t="shared" si="1"/>
        <v>46155</v>
      </c>
      <c r="N54" s="33"/>
      <c r="O54" s="10"/>
    </row>
    <row r="55" spans="2:15" ht="56.25" x14ac:dyDescent="0.4">
      <c r="B55" s="42">
        <v>49</v>
      </c>
      <c r="C55" s="43" t="s">
        <v>521</v>
      </c>
      <c r="D55" s="10" t="s">
        <v>220</v>
      </c>
      <c r="E55" s="10" t="s">
        <v>338</v>
      </c>
      <c r="F55" s="10" t="s">
        <v>343</v>
      </c>
      <c r="G55" s="10" t="s">
        <v>23</v>
      </c>
      <c r="H55" s="10" t="s">
        <v>344</v>
      </c>
      <c r="I55" s="10" t="s">
        <v>348</v>
      </c>
      <c r="J55" s="10" t="s">
        <v>349</v>
      </c>
      <c r="K55" s="33" t="s">
        <v>350</v>
      </c>
      <c r="L55" s="60" t="s">
        <v>525</v>
      </c>
      <c r="M55" s="68">
        <f t="shared" si="1"/>
        <v>46155</v>
      </c>
      <c r="N55" s="33"/>
      <c r="O55" s="10"/>
    </row>
    <row r="56" spans="2:15" ht="38.25" thickBot="1" x14ac:dyDescent="0.45">
      <c r="B56" s="42">
        <v>50</v>
      </c>
      <c r="C56" s="44" t="s">
        <v>521</v>
      </c>
      <c r="D56" s="7" t="s">
        <v>220</v>
      </c>
      <c r="E56" s="7" t="s">
        <v>338</v>
      </c>
      <c r="F56" s="7" t="s">
        <v>351</v>
      </c>
      <c r="G56" s="7" t="s">
        <v>16</v>
      </c>
      <c r="H56" s="7" t="s">
        <v>344</v>
      </c>
      <c r="I56" s="7"/>
      <c r="J56" s="7" t="s">
        <v>352</v>
      </c>
      <c r="K56" s="32" t="s">
        <v>353</v>
      </c>
      <c r="L56" s="61" t="s">
        <v>525</v>
      </c>
      <c r="M56" s="57">
        <f t="shared" si="1"/>
        <v>46155</v>
      </c>
      <c r="N56" s="32"/>
      <c r="O56" s="10"/>
    </row>
    <row r="57" spans="2:15" ht="37.5" x14ac:dyDescent="0.4">
      <c r="B57" s="42">
        <v>51</v>
      </c>
      <c r="C57" s="45" t="s">
        <v>521</v>
      </c>
      <c r="D57" s="4" t="s">
        <v>220</v>
      </c>
      <c r="E57" s="4" t="s">
        <v>316</v>
      </c>
      <c r="F57" s="4" t="s">
        <v>354</v>
      </c>
      <c r="G57" s="4" t="s">
        <v>16</v>
      </c>
      <c r="H57" s="4" t="s">
        <v>323</v>
      </c>
      <c r="I57" s="4" t="s">
        <v>355</v>
      </c>
      <c r="J57" s="4"/>
      <c r="K57" s="31" t="s">
        <v>356</v>
      </c>
      <c r="L57" s="62" t="s">
        <v>525</v>
      </c>
      <c r="M57" s="56">
        <f t="shared" si="1"/>
        <v>46155</v>
      </c>
      <c r="N57" s="31"/>
      <c r="O57" s="10"/>
    </row>
    <row r="58" spans="2:15" ht="37.5" x14ac:dyDescent="0.4">
      <c r="B58" s="42">
        <v>52</v>
      </c>
      <c r="C58" s="43" t="s">
        <v>521</v>
      </c>
      <c r="D58" s="10" t="s">
        <v>220</v>
      </c>
      <c r="E58" s="10" t="s">
        <v>316</v>
      </c>
      <c r="F58" s="10" t="s">
        <v>354</v>
      </c>
      <c r="G58" s="10" t="s">
        <v>16</v>
      </c>
      <c r="H58" s="10" t="s">
        <v>323</v>
      </c>
      <c r="I58" s="10" t="s">
        <v>357</v>
      </c>
      <c r="J58" s="10"/>
      <c r="K58" s="33" t="s">
        <v>358</v>
      </c>
      <c r="L58" s="60" t="s">
        <v>525</v>
      </c>
      <c r="M58" s="68">
        <f t="shared" si="1"/>
        <v>46155</v>
      </c>
      <c r="N58" s="33"/>
      <c r="O58" s="10"/>
    </row>
    <row r="59" spans="2:15" ht="37.5" x14ac:dyDescent="0.4">
      <c r="B59" s="42">
        <v>53</v>
      </c>
      <c r="C59" s="43" t="s">
        <v>521</v>
      </c>
      <c r="D59" s="10" t="s">
        <v>220</v>
      </c>
      <c r="E59" s="10" t="s">
        <v>359</v>
      </c>
      <c r="F59" s="10" t="s">
        <v>360</v>
      </c>
      <c r="G59" s="10" t="s">
        <v>16</v>
      </c>
      <c r="H59" s="10" t="s">
        <v>361</v>
      </c>
      <c r="I59" s="10"/>
      <c r="J59" s="10" t="s">
        <v>362</v>
      </c>
      <c r="K59" s="33" t="s">
        <v>363</v>
      </c>
      <c r="L59" s="60" t="s">
        <v>525</v>
      </c>
      <c r="M59" s="68">
        <f t="shared" si="1"/>
        <v>46155</v>
      </c>
      <c r="N59" s="33"/>
      <c r="O59" s="10"/>
    </row>
    <row r="60" spans="2:15" ht="37.5" x14ac:dyDescent="0.4">
      <c r="B60" s="42">
        <v>54</v>
      </c>
      <c r="C60" s="43" t="s">
        <v>521</v>
      </c>
      <c r="D60" s="10" t="s">
        <v>220</v>
      </c>
      <c r="E60" s="10" t="s">
        <v>359</v>
      </c>
      <c r="F60" s="10" t="s">
        <v>306</v>
      </c>
      <c r="G60" s="10" t="s">
        <v>16</v>
      </c>
      <c r="H60" s="10" t="s">
        <v>364</v>
      </c>
      <c r="I60" s="10"/>
      <c r="J60" s="10" t="s">
        <v>365</v>
      </c>
      <c r="K60" s="33" t="s">
        <v>366</v>
      </c>
      <c r="L60" s="60" t="s">
        <v>525</v>
      </c>
      <c r="M60" s="68">
        <f t="shared" si="1"/>
        <v>46155</v>
      </c>
      <c r="N60" s="33"/>
      <c r="O60" s="10"/>
    </row>
    <row r="61" spans="2:15" ht="38.25" thickBot="1" x14ac:dyDescent="0.45">
      <c r="B61" s="42">
        <v>55</v>
      </c>
      <c r="C61" s="44" t="s">
        <v>521</v>
      </c>
      <c r="D61" s="7" t="s">
        <v>220</v>
      </c>
      <c r="E61" s="7" t="s">
        <v>359</v>
      </c>
      <c r="F61" s="7" t="s">
        <v>310</v>
      </c>
      <c r="G61" s="7" t="s">
        <v>16</v>
      </c>
      <c r="H61" s="7" t="s">
        <v>344</v>
      </c>
      <c r="I61" s="7"/>
      <c r="J61" s="7" t="s">
        <v>352</v>
      </c>
      <c r="K61" s="32" t="s">
        <v>367</v>
      </c>
      <c r="L61" s="61" t="s">
        <v>525</v>
      </c>
      <c r="M61" s="57">
        <f t="shared" si="1"/>
        <v>46155</v>
      </c>
      <c r="N61" s="32"/>
      <c r="O61" s="10"/>
    </row>
    <row r="62" spans="2:15" ht="19.5" thickBot="1" x14ac:dyDescent="0.45">
      <c r="B62" s="42">
        <v>56</v>
      </c>
      <c r="C62" s="48" t="s">
        <v>521</v>
      </c>
      <c r="D62" s="20" t="s">
        <v>220</v>
      </c>
      <c r="E62" s="20" t="s">
        <v>368</v>
      </c>
      <c r="F62" s="20" t="s">
        <v>369</v>
      </c>
      <c r="G62" s="20" t="s">
        <v>16</v>
      </c>
      <c r="H62" s="20" t="s">
        <v>107</v>
      </c>
      <c r="I62" s="20"/>
      <c r="J62" s="21" t="s">
        <v>370</v>
      </c>
      <c r="K62" s="39" t="s">
        <v>109</v>
      </c>
      <c r="L62" s="65" t="s">
        <v>525</v>
      </c>
      <c r="M62" s="71">
        <f t="shared" si="1"/>
        <v>46155</v>
      </c>
      <c r="N62" s="116"/>
      <c r="O62" s="10"/>
    </row>
    <row r="63" spans="2:15" ht="56.25" x14ac:dyDescent="0.4">
      <c r="B63" s="42">
        <v>57</v>
      </c>
      <c r="C63" s="45" t="s">
        <v>521</v>
      </c>
      <c r="D63" s="4" t="s">
        <v>220</v>
      </c>
      <c r="E63" s="4" t="s">
        <v>368</v>
      </c>
      <c r="F63" s="4" t="s">
        <v>371</v>
      </c>
      <c r="G63" s="4" t="s">
        <v>16</v>
      </c>
      <c r="H63" s="4" t="s">
        <v>372</v>
      </c>
      <c r="I63" s="4" t="s">
        <v>373</v>
      </c>
      <c r="J63" s="4" t="s">
        <v>374</v>
      </c>
      <c r="K63" s="31" t="s">
        <v>375</v>
      </c>
      <c r="L63" s="62" t="s">
        <v>525</v>
      </c>
      <c r="M63" s="56">
        <f t="shared" si="1"/>
        <v>46155</v>
      </c>
      <c r="N63" s="31"/>
      <c r="O63" s="10"/>
    </row>
    <row r="64" spans="2:15" ht="37.5" x14ac:dyDescent="0.4">
      <c r="B64" s="42">
        <v>58</v>
      </c>
      <c r="C64" s="43" t="s">
        <v>521</v>
      </c>
      <c r="D64" s="10" t="s">
        <v>220</v>
      </c>
      <c r="E64" s="10" t="s">
        <v>368</v>
      </c>
      <c r="F64" s="10" t="s">
        <v>371</v>
      </c>
      <c r="G64" s="10" t="s">
        <v>23</v>
      </c>
      <c r="H64" s="10" t="s">
        <v>376</v>
      </c>
      <c r="I64" s="10" t="s">
        <v>377</v>
      </c>
      <c r="J64" s="10" t="s">
        <v>378</v>
      </c>
      <c r="K64" s="33" t="s">
        <v>379</v>
      </c>
      <c r="L64" s="60" t="s">
        <v>526</v>
      </c>
      <c r="M64" s="68">
        <f t="shared" si="1"/>
        <v>46155</v>
      </c>
      <c r="N64" s="36" t="s">
        <v>533</v>
      </c>
      <c r="O64" s="15"/>
    </row>
    <row r="65" spans="2:15" ht="38.25" thickBot="1" x14ac:dyDescent="0.45">
      <c r="B65" s="42">
        <v>59</v>
      </c>
      <c r="C65" s="44" t="s">
        <v>521</v>
      </c>
      <c r="D65" s="7" t="s">
        <v>220</v>
      </c>
      <c r="E65" s="7" t="s">
        <v>368</v>
      </c>
      <c r="F65" s="7" t="s">
        <v>371</v>
      </c>
      <c r="G65" s="7" t="s">
        <v>23</v>
      </c>
      <c r="H65" s="7" t="s">
        <v>376</v>
      </c>
      <c r="I65" s="7" t="s">
        <v>380</v>
      </c>
      <c r="J65" s="7" t="s">
        <v>381</v>
      </c>
      <c r="K65" s="32" t="s">
        <v>382</v>
      </c>
      <c r="L65" s="61" t="s">
        <v>525</v>
      </c>
      <c r="M65" s="57">
        <f t="shared" si="1"/>
        <v>46155</v>
      </c>
      <c r="N65" s="32"/>
      <c r="O65" s="10"/>
    </row>
    <row r="66" spans="2:15" ht="56.25" x14ac:dyDescent="0.4">
      <c r="B66" s="42">
        <v>60</v>
      </c>
      <c r="C66" s="45" t="s">
        <v>521</v>
      </c>
      <c r="D66" s="4" t="s">
        <v>220</v>
      </c>
      <c r="E66" s="4" t="s">
        <v>368</v>
      </c>
      <c r="F66" s="4" t="s">
        <v>383</v>
      </c>
      <c r="G66" s="4" t="s">
        <v>16</v>
      </c>
      <c r="H66" s="4" t="s">
        <v>384</v>
      </c>
      <c r="I66" s="4" t="s">
        <v>385</v>
      </c>
      <c r="J66" s="4" t="s">
        <v>386</v>
      </c>
      <c r="K66" s="31" t="s">
        <v>375</v>
      </c>
      <c r="L66" s="62" t="s">
        <v>525</v>
      </c>
      <c r="M66" s="56">
        <f t="shared" si="1"/>
        <v>46155</v>
      </c>
      <c r="N66" s="31"/>
      <c r="O66" s="10"/>
    </row>
    <row r="67" spans="2:15" ht="56.25" x14ac:dyDescent="0.4">
      <c r="B67" s="42">
        <v>61</v>
      </c>
      <c r="C67" s="43" t="s">
        <v>521</v>
      </c>
      <c r="D67" s="10" t="s">
        <v>220</v>
      </c>
      <c r="E67" s="10" t="s">
        <v>368</v>
      </c>
      <c r="F67" s="10" t="s">
        <v>383</v>
      </c>
      <c r="G67" s="10" t="s">
        <v>16</v>
      </c>
      <c r="H67" s="10" t="s">
        <v>384</v>
      </c>
      <c r="I67" s="10" t="s">
        <v>385</v>
      </c>
      <c r="J67" s="10" t="s">
        <v>387</v>
      </c>
      <c r="K67" s="33" t="s">
        <v>375</v>
      </c>
      <c r="L67" s="60" t="s">
        <v>525</v>
      </c>
      <c r="M67" s="68">
        <f t="shared" si="1"/>
        <v>46155</v>
      </c>
      <c r="N67" s="33"/>
      <c r="O67" s="10"/>
    </row>
    <row r="68" spans="2:15" ht="38.25" thickBot="1" x14ac:dyDescent="0.45">
      <c r="B68" s="42">
        <v>62</v>
      </c>
      <c r="C68" s="44" t="s">
        <v>521</v>
      </c>
      <c r="D68" s="7" t="s">
        <v>220</v>
      </c>
      <c r="E68" s="7" t="s">
        <v>368</v>
      </c>
      <c r="F68" s="7" t="s">
        <v>383</v>
      </c>
      <c r="G68" s="7" t="s">
        <v>23</v>
      </c>
      <c r="H68" s="7" t="s">
        <v>388</v>
      </c>
      <c r="I68" s="7" t="s">
        <v>389</v>
      </c>
      <c r="J68" s="7" t="s">
        <v>390</v>
      </c>
      <c r="K68" s="32" t="s">
        <v>391</v>
      </c>
      <c r="L68" s="61" t="s">
        <v>525</v>
      </c>
      <c r="M68" s="57">
        <f t="shared" si="1"/>
        <v>46155</v>
      </c>
      <c r="N68" s="32"/>
      <c r="O68" s="10"/>
    </row>
    <row r="69" spans="2:15" x14ac:dyDescent="0.4">
      <c r="B69" s="42">
        <v>63</v>
      </c>
      <c r="C69" s="45" t="s">
        <v>521</v>
      </c>
      <c r="D69" s="4" t="s">
        <v>220</v>
      </c>
      <c r="E69" s="4" t="s">
        <v>368</v>
      </c>
      <c r="F69" s="4" t="s">
        <v>392</v>
      </c>
      <c r="G69" s="4" t="s">
        <v>16</v>
      </c>
      <c r="H69" s="4" t="s">
        <v>393</v>
      </c>
      <c r="I69" s="4" t="s">
        <v>394</v>
      </c>
      <c r="J69" s="4" t="s">
        <v>224</v>
      </c>
      <c r="K69" s="31" t="s">
        <v>393</v>
      </c>
      <c r="L69" s="62" t="s">
        <v>525</v>
      </c>
      <c r="M69" s="56">
        <f t="shared" si="1"/>
        <v>46155</v>
      </c>
      <c r="N69" s="31"/>
      <c r="O69" s="10"/>
    </row>
    <row r="70" spans="2:15" ht="37.5" x14ac:dyDescent="0.4">
      <c r="B70" s="42">
        <v>64</v>
      </c>
      <c r="C70" s="43" t="s">
        <v>521</v>
      </c>
      <c r="D70" s="10" t="s">
        <v>220</v>
      </c>
      <c r="E70" s="10" t="s">
        <v>368</v>
      </c>
      <c r="F70" s="10" t="s">
        <v>392</v>
      </c>
      <c r="G70" s="10" t="s">
        <v>16</v>
      </c>
      <c r="H70" s="10" t="s">
        <v>395</v>
      </c>
      <c r="I70" s="10"/>
      <c r="J70" s="10" t="s">
        <v>396</v>
      </c>
      <c r="K70" s="33" t="s">
        <v>375</v>
      </c>
      <c r="L70" s="60" t="s">
        <v>525</v>
      </c>
      <c r="M70" s="68">
        <f t="shared" si="1"/>
        <v>46155</v>
      </c>
      <c r="N70" s="33"/>
      <c r="O70" s="10"/>
    </row>
    <row r="71" spans="2:15" ht="37.5" x14ac:dyDescent="0.4">
      <c r="B71" s="42">
        <v>65</v>
      </c>
      <c r="C71" s="43" t="s">
        <v>521</v>
      </c>
      <c r="D71" s="10" t="s">
        <v>220</v>
      </c>
      <c r="E71" s="10" t="s">
        <v>368</v>
      </c>
      <c r="F71" s="10" t="s">
        <v>392</v>
      </c>
      <c r="G71" s="10" t="s">
        <v>23</v>
      </c>
      <c r="H71" s="10" t="s">
        <v>397</v>
      </c>
      <c r="I71" s="10" t="s">
        <v>398</v>
      </c>
      <c r="J71" s="10" t="s">
        <v>399</v>
      </c>
      <c r="K71" s="33" t="s">
        <v>402</v>
      </c>
      <c r="L71" s="60" t="s">
        <v>526</v>
      </c>
      <c r="M71" s="68">
        <f t="shared" si="1"/>
        <v>46155</v>
      </c>
      <c r="N71" s="33" t="s">
        <v>543</v>
      </c>
      <c r="O71" s="10"/>
    </row>
    <row r="72" spans="2:15" x14ac:dyDescent="0.4">
      <c r="B72" s="42">
        <v>66</v>
      </c>
      <c r="C72" s="43" t="s">
        <v>521</v>
      </c>
      <c r="D72" s="10" t="s">
        <v>220</v>
      </c>
      <c r="E72" s="10" t="s">
        <v>368</v>
      </c>
      <c r="F72" s="10" t="s">
        <v>400</v>
      </c>
      <c r="G72" s="10" t="s">
        <v>16</v>
      </c>
      <c r="H72" s="10" t="s">
        <v>393</v>
      </c>
      <c r="I72" s="10" t="s">
        <v>394</v>
      </c>
      <c r="J72" s="10" t="s">
        <v>224</v>
      </c>
      <c r="K72" s="33" t="s">
        <v>393</v>
      </c>
      <c r="L72" s="60" t="s">
        <v>525</v>
      </c>
      <c r="M72" s="68">
        <f t="shared" si="1"/>
        <v>46155</v>
      </c>
      <c r="N72" s="33"/>
      <c r="O72" s="10"/>
    </row>
    <row r="73" spans="2:15" ht="37.5" x14ac:dyDescent="0.4">
      <c r="B73" s="42">
        <v>67</v>
      </c>
      <c r="C73" s="43" t="s">
        <v>521</v>
      </c>
      <c r="D73" s="10" t="s">
        <v>220</v>
      </c>
      <c r="E73" s="10" t="s">
        <v>368</v>
      </c>
      <c r="F73" s="10" t="s">
        <v>400</v>
      </c>
      <c r="G73" s="10" t="s">
        <v>16</v>
      </c>
      <c r="H73" s="10" t="s">
        <v>395</v>
      </c>
      <c r="I73" s="10" t="s">
        <v>401</v>
      </c>
      <c r="J73" s="10" t="s">
        <v>396</v>
      </c>
      <c r="K73" s="33" t="s">
        <v>375</v>
      </c>
      <c r="L73" s="60" t="s">
        <v>525</v>
      </c>
      <c r="M73" s="68">
        <f t="shared" si="1"/>
        <v>46155</v>
      </c>
      <c r="N73" s="33"/>
      <c r="O73" s="10"/>
    </row>
    <row r="74" spans="2:15" ht="37.5" x14ac:dyDescent="0.4">
      <c r="B74" s="42">
        <v>68</v>
      </c>
      <c r="C74" s="43" t="s">
        <v>521</v>
      </c>
      <c r="D74" s="10" t="s">
        <v>220</v>
      </c>
      <c r="E74" s="10" t="s">
        <v>368</v>
      </c>
      <c r="F74" s="10" t="s">
        <v>400</v>
      </c>
      <c r="G74" s="10" t="s">
        <v>23</v>
      </c>
      <c r="H74" s="10" t="s">
        <v>397</v>
      </c>
      <c r="I74" s="10" t="s">
        <v>398</v>
      </c>
      <c r="J74" s="10" t="s">
        <v>399</v>
      </c>
      <c r="K74" s="33" t="s">
        <v>402</v>
      </c>
      <c r="L74" s="60" t="s">
        <v>526</v>
      </c>
      <c r="M74" s="68">
        <f t="shared" si="1"/>
        <v>46155</v>
      </c>
      <c r="N74" s="33" t="s">
        <v>543</v>
      </c>
      <c r="O74" s="10"/>
    </row>
    <row r="75" spans="2:15" ht="57" thickBot="1" x14ac:dyDescent="0.45">
      <c r="B75" s="42">
        <v>69</v>
      </c>
      <c r="C75" s="44" t="s">
        <v>521</v>
      </c>
      <c r="D75" s="7" t="s">
        <v>220</v>
      </c>
      <c r="E75" s="7" t="s">
        <v>368</v>
      </c>
      <c r="F75" s="7" t="s">
        <v>400</v>
      </c>
      <c r="G75" s="7" t="s">
        <v>23</v>
      </c>
      <c r="H75" s="7" t="s">
        <v>397</v>
      </c>
      <c r="I75" s="7" t="s">
        <v>403</v>
      </c>
      <c r="J75" s="7" t="s">
        <v>404</v>
      </c>
      <c r="K75" s="32" t="s">
        <v>519</v>
      </c>
      <c r="L75" s="61" t="s">
        <v>526</v>
      </c>
      <c r="M75" s="57">
        <f t="shared" si="1"/>
        <v>46155</v>
      </c>
      <c r="N75" s="32" t="s">
        <v>544</v>
      </c>
      <c r="O75" s="10"/>
    </row>
    <row r="76" spans="2:15" x14ac:dyDescent="0.4">
      <c r="B76" s="42">
        <v>70</v>
      </c>
      <c r="C76" s="45" t="s">
        <v>521</v>
      </c>
      <c r="D76" s="4" t="s">
        <v>220</v>
      </c>
      <c r="E76" s="4" t="s">
        <v>368</v>
      </c>
      <c r="F76" s="4" t="s">
        <v>405</v>
      </c>
      <c r="G76" s="4" t="s">
        <v>16</v>
      </c>
      <c r="H76" s="4" t="s">
        <v>406</v>
      </c>
      <c r="I76" s="4" t="s">
        <v>394</v>
      </c>
      <c r="J76" s="4" t="s">
        <v>224</v>
      </c>
      <c r="K76" s="31" t="s">
        <v>406</v>
      </c>
      <c r="L76" s="62" t="s">
        <v>525</v>
      </c>
      <c r="M76" s="56">
        <f t="shared" si="1"/>
        <v>46155</v>
      </c>
      <c r="N76" s="31"/>
      <c r="O76" s="10"/>
    </row>
    <row r="77" spans="2:15" ht="37.5" x14ac:dyDescent="0.4">
      <c r="B77" s="42">
        <v>71</v>
      </c>
      <c r="C77" s="43" t="s">
        <v>521</v>
      </c>
      <c r="D77" s="10" t="s">
        <v>220</v>
      </c>
      <c r="E77" s="10" t="s">
        <v>368</v>
      </c>
      <c r="F77" s="10" t="s">
        <v>405</v>
      </c>
      <c r="G77" s="10" t="s">
        <v>16</v>
      </c>
      <c r="H77" s="10" t="s">
        <v>407</v>
      </c>
      <c r="I77" s="10" t="s">
        <v>408</v>
      </c>
      <c r="J77" s="10" t="s">
        <v>409</v>
      </c>
      <c r="K77" s="33" t="s">
        <v>407</v>
      </c>
      <c r="L77" s="72" t="s">
        <v>525</v>
      </c>
      <c r="M77" s="68">
        <f t="shared" ref="M77:M95" si="2">$M$76</f>
        <v>46155</v>
      </c>
      <c r="N77" s="125"/>
      <c r="O77" s="127"/>
    </row>
    <row r="78" spans="2:15" ht="37.5" x14ac:dyDescent="0.4">
      <c r="B78" s="42">
        <v>72</v>
      </c>
      <c r="C78" s="43" t="s">
        <v>521</v>
      </c>
      <c r="D78" s="10" t="s">
        <v>220</v>
      </c>
      <c r="E78" s="10" t="s">
        <v>368</v>
      </c>
      <c r="F78" s="10" t="s">
        <v>410</v>
      </c>
      <c r="G78" s="10" t="s">
        <v>16</v>
      </c>
      <c r="H78" s="10" t="s">
        <v>411</v>
      </c>
      <c r="I78" s="10" t="s">
        <v>412</v>
      </c>
      <c r="J78" s="10" t="s">
        <v>412</v>
      </c>
      <c r="K78" s="33" t="s">
        <v>413</v>
      </c>
      <c r="L78" s="72" t="s">
        <v>525</v>
      </c>
      <c r="M78" s="68">
        <f t="shared" si="2"/>
        <v>46155</v>
      </c>
      <c r="N78" s="33"/>
      <c r="O78" s="10"/>
    </row>
    <row r="79" spans="2:15" x14ac:dyDescent="0.4">
      <c r="B79" s="42">
        <v>73</v>
      </c>
      <c r="C79" s="43" t="s">
        <v>521</v>
      </c>
      <c r="D79" s="10" t="s">
        <v>220</v>
      </c>
      <c r="E79" s="10" t="s">
        <v>368</v>
      </c>
      <c r="F79" s="10" t="s">
        <v>410</v>
      </c>
      <c r="G79" s="10" t="s">
        <v>16</v>
      </c>
      <c r="H79" s="10" t="s">
        <v>414</v>
      </c>
      <c r="I79" s="10" t="s">
        <v>412</v>
      </c>
      <c r="J79" s="10" t="s">
        <v>415</v>
      </c>
      <c r="K79" s="33" t="s">
        <v>414</v>
      </c>
      <c r="L79" s="72" t="s">
        <v>525</v>
      </c>
      <c r="M79" s="68">
        <f t="shared" si="2"/>
        <v>46155</v>
      </c>
      <c r="N79" s="33"/>
      <c r="O79" s="10"/>
    </row>
    <row r="80" spans="2:15" ht="37.5" x14ac:dyDescent="0.4">
      <c r="B80" s="42">
        <v>74</v>
      </c>
      <c r="C80" s="43" t="s">
        <v>521</v>
      </c>
      <c r="D80" s="10" t="s">
        <v>220</v>
      </c>
      <c r="E80" s="10" t="s">
        <v>368</v>
      </c>
      <c r="F80" s="10" t="s">
        <v>416</v>
      </c>
      <c r="G80" s="10" t="s">
        <v>16</v>
      </c>
      <c r="H80" s="10" t="s">
        <v>417</v>
      </c>
      <c r="I80" s="10" t="s">
        <v>418</v>
      </c>
      <c r="J80" s="10" t="s">
        <v>418</v>
      </c>
      <c r="K80" s="33" t="s">
        <v>419</v>
      </c>
      <c r="L80" s="72" t="s">
        <v>525</v>
      </c>
      <c r="M80" s="68">
        <f t="shared" si="2"/>
        <v>46155</v>
      </c>
      <c r="N80" s="126"/>
      <c r="O80" s="128"/>
    </row>
    <row r="81" spans="2:15" ht="19.5" thickBot="1" x14ac:dyDescent="0.45">
      <c r="B81" s="42">
        <v>75</v>
      </c>
      <c r="C81" s="44" t="s">
        <v>521</v>
      </c>
      <c r="D81" s="7" t="s">
        <v>220</v>
      </c>
      <c r="E81" s="7" t="s">
        <v>368</v>
      </c>
      <c r="F81" s="7" t="s">
        <v>416</v>
      </c>
      <c r="G81" s="7" t="s">
        <v>16</v>
      </c>
      <c r="H81" s="7" t="s">
        <v>420</v>
      </c>
      <c r="I81" s="7" t="s">
        <v>418</v>
      </c>
      <c r="J81" s="7" t="s">
        <v>421</v>
      </c>
      <c r="K81" s="32" t="s">
        <v>420</v>
      </c>
      <c r="L81" s="73" t="s">
        <v>525</v>
      </c>
      <c r="M81" s="57">
        <f t="shared" si="2"/>
        <v>46155</v>
      </c>
      <c r="N81" s="126"/>
      <c r="O81" s="128"/>
    </row>
    <row r="82" spans="2:15" ht="37.5" x14ac:dyDescent="0.4">
      <c r="B82" s="42">
        <v>76</v>
      </c>
      <c r="C82" s="45" t="s">
        <v>521</v>
      </c>
      <c r="D82" s="4" t="s">
        <v>220</v>
      </c>
      <c r="E82" s="4" t="s">
        <v>422</v>
      </c>
      <c r="F82" s="4" t="s">
        <v>423</v>
      </c>
      <c r="G82" s="4" t="s">
        <v>16</v>
      </c>
      <c r="H82" s="4" t="s">
        <v>424</v>
      </c>
      <c r="I82" s="4"/>
      <c r="J82" s="4" t="s">
        <v>415</v>
      </c>
      <c r="K82" s="31" t="s">
        <v>424</v>
      </c>
      <c r="L82" s="74" t="s">
        <v>525</v>
      </c>
      <c r="M82" s="56">
        <f t="shared" si="2"/>
        <v>46155</v>
      </c>
      <c r="N82" s="31"/>
      <c r="O82" s="10"/>
    </row>
    <row r="83" spans="2:15" ht="37.5" x14ac:dyDescent="0.4">
      <c r="B83" s="42">
        <v>77</v>
      </c>
      <c r="C83" s="43" t="s">
        <v>521</v>
      </c>
      <c r="D83" s="10" t="s">
        <v>220</v>
      </c>
      <c r="E83" s="10" t="s">
        <v>422</v>
      </c>
      <c r="F83" s="10" t="s">
        <v>425</v>
      </c>
      <c r="G83" s="10" t="s">
        <v>23</v>
      </c>
      <c r="H83" s="10" t="s">
        <v>426</v>
      </c>
      <c r="I83" s="10" t="s">
        <v>427</v>
      </c>
      <c r="J83" s="10" t="s">
        <v>428</v>
      </c>
      <c r="K83" s="33" t="s">
        <v>429</v>
      </c>
      <c r="L83" s="72" t="s">
        <v>526</v>
      </c>
      <c r="M83" s="68">
        <f t="shared" si="2"/>
        <v>46155</v>
      </c>
      <c r="N83" s="33" t="s">
        <v>542</v>
      </c>
      <c r="O83" s="10"/>
    </row>
    <row r="84" spans="2:15" ht="37.5" x14ac:dyDescent="0.4">
      <c r="B84" s="42">
        <v>78</v>
      </c>
      <c r="C84" s="43" t="s">
        <v>521</v>
      </c>
      <c r="D84" s="10" t="s">
        <v>220</v>
      </c>
      <c r="E84" s="10" t="s">
        <v>422</v>
      </c>
      <c r="F84" s="10" t="s">
        <v>425</v>
      </c>
      <c r="G84" s="10" t="s">
        <v>23</v>
      </c>
      <c r="H84" s="10" t="s">
        <v>426</v>
      </c>
      <c r="I84" s="10" t="s">
        <v>430</v>
      </c>
      <c r="J84" s="10" t="s">
        <v>431</v>
      </c>
      <c r="K84" s="33" t="s">
        <v>432</v>
      </c>
      <c r="L84" s="72" t="s">
        <v>526</v>
      </c>
      <c r="M84" s="68">
        <f t="shared" si="2"/>
        <v>46155</v>
      </c>
      <c r="N84" s="33" t="s">
        <v>541</v>
      </c>
      <c r="O84" s="10"/>
    </row>
    <row r="85" spans="2:15" ht="37.5" x14ac:dyDescent="0.4">
      <c r="B85" s="42">
        <v>79</v>
      </c>
      <c r="C85" s="43" t="s">
        <v>521</v>
      </c>
      <c r="D85" s="10" t="s">
        <v>220</v>
      </c>
      <c r="E85" s="10" t="s">
        <v>422</v>
      </c>
      <c r="F85" s="10" t="s">
        <v>425</v>
      </c>
      <c r="G85" s="10" t="s">
        <v>16</v>
      </c>
      <c r="H85" s="10" t="s">
        <v>433</v>
      </c>
      <c r="I85" s="10" t="s">
        <v>434</v>
      </c>
      <c r="J85" s="10" t="s">
        <v>435</v>
      </c>
      <c r="K85" s="33" t="s">
        <v>436</v>
      </c>
      <c r="L85" s="72" t="s">
        <v>525</v>
      </c>
      <c r="M85" s="68">
        <f t="shared" si="2"/>
        <v>46155</v>
      </c>
      <c r="N85" s="33"/>
      <c r="O85" s="10"/>
    </row>
    <row r="86" spans="2:15" ht="37.5" x14ac:dyDescent="0.4">
      <c r="B86" s="42">
        <v>80</v>
      </c>
      <c r="C86" s="43" t="s">
        <v>521</v>
      </c>
      <c r="D86" s="10" t="s">
        <v>220</v>
      </c>
      <c r="E86" s="10" t="s">
        <v>422</v>
      </c>
      <c r="F86" s="10" t="s">
        <v>437</v>
      </c>
      <c r="G86" s="10" t="s">
        <v>16</v>
      </c>
      <c r="H86" s="10" t="s">
        <v>438</v>
      </c>
      <c r="I86" s="10"/>
      <c r="J86" s="10" t="s">
        <v>439</v>
      </c>
      <c r="K86" s="33" t="s">
        <v>440</v>
      </c>
      <c r="L86" s="72" t="s">
        <v>525</v>
      </c>
      <c r="M86" s="68">
        <f t="shared" si="2"/>
        <v>46155</v>
      </c>
      <c r="N86" s="33"/>
      <c r="O86" s="10"/>
    </row>
    <row r="87" spans="2:15" ht="37.5" x14ac:dyDescent="0.4">
      <c r="B87" s="42">
        <v>81</v>
      </c>
      <c r="C87" s="43" t="s">
        <v>521</v>
      </c>
      <c r="D87" s="10" t="s">
        <v>220</v>
      </c>
      <c r="E87" s="10" t="s">
        <v>422</v>
      </c>
      <c r="F87" s="10" t="s">
        <v>437</v>
      </c>
      <c r="G87" s="10" t="s">
        <v>16</v>
      </c>
      <c r="H87" s="10" t="s">
        <v>441</v>
      </c>
      <c r="I87" s="10"/>
      <c r="J87" s="10" t="s">
        <v>442</v>
      </c>
      <c r="K87" s="33" t="s">
        <v>443</v>
      </c>
      <c r="L87" s="72" t="s">
        <v>525</v>
      </c>
      <c r="M87" s="68">
        <f t="shared" si="2"/>
        <v>46155</v>
      </c>
      <c r="N87" s="33"/>
      <c r="O87" s="10"/>
    </row>
    <row r="88" spans="2:15" ht="37.5" x14ac:dyDescent="0.4">
      <c r="B88" s="42">
        <v>82</v>
      </c>
      <c r="C88" s="43" t="s">
        <v>521</v>
      </c>
      <c r="D88" s="10" t="s">
        <v>220</v>
      </c>
      <c r="E88" s="10" t="s">
        <v>422</v>
      </c>
      <c r="F88" s="10" t="s">
        <v>444</v>
      </c>
      <c r="G88" s="10" t="s">
        <v>16</v>
      </c>
      <c r="H88" s="10" t="s">
        <v>445</v>
      </c>
      <c r="I88" s="10"/>
      <c r="J88" s="10" t="s">
        <v>446</v>
      </c>
      <c r="K88" s="33" t="s">
        <v>447</v>
      </c>
      <c r="L88" s="72" t="s">
        <v>525</v>
      </c>
      <c r="M88" s="68">
        <f t="shared" si="2"/>
        <v>46155</v>
      </c>
      <c r="N88" s="33"/>
      <c r="O88" s="10"/>
    </row>
    <row r="89" spans="2:15" ht="38.25" thickBot="1" x14ac:dyDescent="0.45">
      <c r="B89" s="42">
        <v>83</v>
      </c>
      <c r="C89" s="44" t="s">
        <v>521</v>
      </c>
      <c r="D89" s="7" t="s">
        <v>220</v>
      </c>
      <c r="E89" s="7" t="s">
        <v>422</v>
      </c>
      <c r="F89" s="7" t="s">
        <v>448</v>
      </c>
      <c r="G89" s="7" t="s">
        <v>16</v>
      </c>
      <c r="H89" s="7" t="s">
        <v>449</v>
      </c>
      <c r="I89" s="7"/>
      <c r="J89" s="7" t="s">
        <v>450</v>
      </c>
      <c r="K89" s="32" t="s">
        <v>451</v>
      </c>
      <c r="L89" s="73" t="s">
        <v>525</v>
      </c>
      <c r="M89" s="57">
        <f t="shared" si="2"/>
        <v>46155</v>
      </c>
      <c r="N89" s="32"/>
      <c r="O89" s="10"/>
    </row>
    <row r="90" spans="2:15" ht="37.5" x14ac:dyDescent="0.4">
      <c r="B90" s="42">
        <v>84</v>
      </c>
      <c r="C90" s="45" t="s">
        <v>521</v>
      </c>
      <c r="D90" s="4" t="s">
        <v>220</v>
      </c>
      <c r="E90" s="4" t="s">
        <v>452</v>
      </c>
      <c r="F90" s="4" t="s">
        <v>453</v>
      </c>
      <c r="G90" s="4" t="s">
        <v>16</v>
      </c>
      <c r="H90" s="4" t="s">
        <v>454</v>
      </c>
      <c r="I90" s="4"/>
      <c r="J90" s="4" t="s">
        <v>421</v>
      </c>
      <c r="K90" s="31" t="s">
        <v>455</v>
      </c>
      <c r="L90" s="74" t="s">
        <v>525</v>
      </c>
      <c r="M90" s="56">
        <f t="shared" si="2"/>
        <v>46155</v>
      </c>
      <c r="N90" s="31"/>
      <c r="O90" s="10"/>
    </row>
    <row r="91" spans="2:15" ht="37.5" x14ac:dyDescent="0.4">
      <c r="B91" s="42">
        <v>85</v>
      </c>
      <c r="C91" s="43" t="s">
        <v>521</v>
      </c>
      <c r="D91" s="10" t="s">
        <v>220</v>
      </c>
      <c r="E91" s="10" t="s">
        <v>452</v>
      </c>
      <c r="F91" s="10" t="s">
        <v>444</v>
      </c>
      <c r="G91" s="10" t="s">
        <v>16</v>
      </c>
      <c r="H91" s="10" t="s">
        <v>456</v>
      </c>
      <c r="I91" s="10"/>
      <c r="J91" s="10" t="s">
        <v>457</v>
      </c>
      <c r="K91" s="33" t="s">
        <v>458</v>
      </c>
      <c r="L91" s="72" t="s">
        <v>525</v>
      </c>
      <c r="M91" s="68">
        <f t="shared" si="2"/>
        <v>46155</v>
      </c>
      <c r="N91" s="126"/>
      <c r="O91" s="128"/>
    </row>
    <row r="92" spans="2:15" ht="37.5" x14ac:dyDescent="0.4">
      <c r="B92" s="42">
        <v>86</v>
      </c>
      <c r="C92" s="43" t="s">
        <v>521</v>
      </c>
      <c r="D92" s="10" t="s">
        <v>220</v>
      </c>
      <c r="E92" s="10" t="s">
        <v>452</v>
      </c>
      <c r="F92" s="10" t="s">
        <v>437</v>
      </c>
      <c r="G92" s="10" t="s">
        <v>16</v>
      </c>
      <c r="H92" s="10" t="s">
        <v>438</v>
      </c>
      <c r="I92" s="10"/>
      <c r="J92" s="10" t="s">
        <v>459</v>
      </c>
      <c r="K92" s="33" t="s">
        <v>447</v>
      </c>
      <c r="L92" s="72" t="s">
        <v>525</v>
      </c>
      <c r="M92" s="68">
        <f t="shared" si="2"/>
        <v>46155</v>
      </c>
      <c r="N92" s="126"/>
      <c r="O92" s="128"/>
    </row>
    <row r="93" spans="2:15" ht="75" x14ac:dyDescent="0.4">
      <c r="B93" s="42">
        <v>87</v>
      </c>
      <c r="C93" s="43" t="s">
        <v>521</v>
      </c>
      <c r="D93" s="10" t="s">
        <v>220</v>
      </c>
      <c r="E93" s="10" t="s">
        <v>452</v>
      </c>
      <c r="F93" s="10" t="s">
        <v>437</v>
      </c>
      <c r="G93" s="10" t="s">
        <v>16</v>
      </c>
      <c r="H93" s="10" t="s">
        <v>441</v>
      </c>
      <c r="I93" s="10"/>
      <c r="J93" s="10" t="s">
        <v>460</v>
      </c>
      <c r="K93" s="33" t="s">
        <v>461</v>
      </c>
      <c r="L93" s="72" t="s">
        <v>525</v>
      </c>
      <c r="M93" s="68">
        <f t="shared" si="2"/>
        <v>46155</v>
      </c>
      <c r="N93" s="126"/>
      <c r="O93" s="128"/>
    </row>
    <row r="94" spans="2:15" ht="37.5" x14ac:dyDescent="0.4">
      <c r="B94" s="42">
        <v>88</v>
      </c>
      <c r="C94" s="43" t="s">
        <v>521</v>
      </c>
      <c r="D94" s="10" t="s">
        <v>220</v>
      </c>
      <c r="E94" s="10" t="s">
        <v>452</v>
      </c>
      <c r="F94" s="10" t="s">
        <v>437</v>
      </c>
      <c r="G94" s="10" t="s">
        <v>16</v>
      </c>
      <c r="H94" s="10" t="s">
        <v>462</v>
      </c>
      <c r="I94" s="10"/>
      <c r="J94" s="10" t="s">
        <v>463</v>
      </c>
      <c r="K94" s="33" t="s">
        <v>464</v>
      </c>
      <c r="L94" s="72" t="s">
        <v>525</v>
      </c>
      <c r="M94" s="68">
        <f t="shared" si="2"/>
        <v>46155</v>
      </c>
      <c r="N94" s="126"/>
      <c r="O94" s="128"/>
    </row>
    <row r="95" spans="2:15" ht="38.25" thickBot="1" x14ac:dyDescent="0.45">
      <c r="B95" s="42">
        <v>89</v>
      </c>
      <c r="C95" s="44" t="s">
        <v>521</v>
      </c>
      <c r="D95" s="7" t="s">
        <v>220</v>
      </c>
      <c r="E95" s="7" t="s">
        <v>452</v>
      </c>
      <c r="F95" s="7" t="s">
        <v>448</v>
      </c>
      <c r="G95" s="7" t="s">
        <v>16</v>
      </c>
      <c r="H95" s="7" t="s">
        <v>465</v>
      </c>
      <c r="I95" s="7"/>
      <c r="J95" s="7" t="s">
        <v>450</v>
      </c>
      <c r="K95" s="32" t="s">
        <v>466</v>
      </c>
      <c r="L95" s="73" t="s">
        <v>525</v>
      </c>
      <c r="M95" s="57">
        <f t="shared" si="2"/>
        <v>46155</v>
      </c>
      <c r="N95" s="32"/>
      <c r="O95" s="10"/>
    </row>
    <row r="96" spans="2:15" ht="37.5" x14ac:dyDescent="0.4">
      <c r="B96" s="42">
        <v>90</v>
      </c>
      <c r="C96" s="45" t="s">
        <v>521</v>
      </c>
      <c r="D96" s="4" t="s">
        <v>220</v>
      </c>
      <c r="E96" s="4" t="s">
        <v>368</v>
      </c>
      <c r="F96" s="4" t="s">
        <v>467</v>
      </c>
      <c r="G96" s="4" t="s">
        <v>16</v>
      </c>
      <c r="H96" s="4" t="s">
        <v>468</v>
      </c>
      <c r="I96" s="4" t="s">
        <v>469</v>
      </c>
      <c r="J96" s="4" t="s">
        <v>470</v>
      </c>
      <c r="K96" s="31" t="s">
        <v>471</v>
      </c>
      <c r="L96" s="62" t="s">
        <v>525</v>
      </c>
      <c r="M96" s="56">
        <v>46155</v>
      </c>
      <c r="N96" s="31" t="s">
        <v>534</v>
      </c>
      <c r="O96" s="10"/>
    </row>
    <row r="97" spans="2:15" ht="37.5" x14ac:dyDescent="0.4">
      <c r="B97" s="42">
        <v>91</v>
      </c>
      <c r="C97" s="43" t="s">
        <v>521</v>
      </c>
      <c r="D97" s="10" t="s">
        <v>220</v>
      </c>
      <c r="E97" s="10" t="s">
        <v>368</v>
      </c>
      <c r="F97" s="10" t="s">
        <v>467</v>
      </c>
      <c r="G97" s="10" t="s">
        <v>16</v>
      </c>
      <c r="H97" s="10" t="s">
        <v>468</v>
      </c>
      <c r="I97" s="10" t="s">
        <v>472</v>
      </c>
      <c r="J97" s="10" t="s">
        <v>473</v>
      </c>
      <c r="K97" s="33" t="s">
        <v>474</v>
      </c>
      <c r="L97" s="60" t="s">
        <v>525</v>
      </c>
      <c r="M97" s="68">
        <v>46155</v>
      </c>
      <c r="N97" s="33" t="s">
        <v>535</v>
      </c>
      <c r="O97" s="10"/>
    </row>
    <row r="98" spans="2:15" ht="36" customHeight="1" thickBot="1" x14ac:dyDescent="0.45">
      <c r="B98" s="42">
        <v>92</v>
      </c>
      <c r="C98" s="44" t="s">
        <v>521</v>
      </c>
      <c r="D98" s="7" t="s">
        <v>220</v>
      </c>
      <c r="E98" s="7" t="s">
        <v>368</v>
      </c>
      <c r="F98" s="7" t="s">
        <v>467</v>
      </c>
      <c r="G98" s="7" t="s">
        <v>16</v>
      </c>
      <c r="H98" s="7" t="s">
        <v>468</v>
      </c>
      <c r="I98" s="7" t="s">
        <v>475</v>
      </c>
      <c r="J98" s="7" t="s">
        <v>476</v>
      </c>
      <c r="K98" s="32" t="s">
        <v>477</v>
      </c>
      <c r="L98" s="61" t="s">
        <v>525</v>
      </c>
      <c r="M98" s="57">
        <v>46155</v>
      </c>
      <c r="N98" s="32" t="s">
        <v>536</v>
      </c>
      <c r="O98" s="10"/>
    </row>
    <row r="99" spans="2:15" x14ac:dyDescent="0.4">
      <c r="B99" s="42">
        <v>93</v>
      </c>
      <c r="C99" s="49"/>
      <c r="D99" s="4"/>
      <c r="E99" s="4"/>
      <c r="F99" s="4"/>
      <c r="G99" s="4"/>
      <c r="H99" s="4"/>
      <c r="I99" s="4"/>
      <c r="J99" s="4"/>
      <c r="K99" s="31"/>
      <c r="L99" s="62"/>
      <c r="M99" s="53"/>
      <c r="N99" s="31"/>
      <c r="O99" s="10"/>
    </row>
    <row r="100" spans="2:15" x14ac:dyDescent="0.4">
      <c r="B100" s="42">
        <v>94</v>
      </c>
      <c r="C100" s="50"/>
      <c r="D100" s="10"/>
      <c r="E100" s="10"/>
      <c r="F100" s="10"/>
      <c r="G100" s="10"/>
      <c r="H100" s="10"/>
      <c r="I100" s="10"/>
      <c r="J100" s="10"/>
      <c r="K100" s="33"/>
      <c r="L100" s="60"/>
      <c r="M100" s="54"/>
      <c r="N100" s="33"/>
      <c r="O100" s="10"/>
    </row>
    <row r="101" spans="2:15" x14ac:dyDescent="0.4">
      <c r="B101" s="42">
        <v>95</v>
      </c>
      <c r="C101" s="50"/>
      <c r="D101" s="10"/>
      <c r="E101" s="10"/>
      <c r="F101" s="10"/>
      <c r="G101" s="10"/>
      <c r="H101" s="10"/>
      <c r="I101" s="10"/>
      <c r="J101" s="10"/>
      <c r="K101" s="33"/>
      <c r="L101" s="60"/>
      <c r="M101" s="54"/>
      <c r="N101" s="33"/>
      <c r="O101" s="10"/>
    </row>
    <row r="102" spans="2:15" x14ac:dyDescent="0.4">
      <c r="B102" s="42">
        <v>96</v>
      </c>
      <c r="C102" s="50"/>
      <c r="D102" s="10"/>
      <c r="E102" s="10"/>
      <c r="F102" s="10"/>
      <c r="G102" s="10"/>
      <c r="H102" s="10"/>
      <c r="I102" s="10"/>
      <c r="J102" s="10"/>
      <c r="K102" s="33"/>
      <c r="L102" s="60"/>
      <c r="M102" s="54"/>
      <c r="N102" s="33"/>
      <c r="O102" s="10"/>
    </row>
    <row r="103" spans="2:15" x14ac:dyDescent="0.4">
      <c r="B103" s="42">
        <v>97</v>
      </c>
      <c r="C103" s="50"/>
      <c r="D103" s="10"/>
      <c r="E103" s="10"/>
      <c r="F103" s="10"/>
      <c r="G103" s="10"/>
      <c r="H103" s="10"/>
      <c r="I103" s="10"/>
      <c r="J103" s="10"/>
      <c r="K103" s="33"/>
      <c r="L103" s="60"/>
      <c r="M103" s="54"/>
      <c r="N103" s="33"/>
      <c r="O103" s="10"/>
    </row>
    <row r="104" spans="2:15" x14ac:dyDescent="0.4">
      <c r="B104" s="42">
        <v>98</v>
      </c>
      <c r="C104" s="50"/>
      <c r="D104" s="10"/>
      <c r="E104" s="10"/>
      <c r="F104" s="10"/>
      <c r="G104" s="10"/>
      <c r="H104" s="10"/>
      <c r="I104" s="10"/>
      <c r="J104" s="10"/>
      <c r="K104" s="33"/>
      <c r="L104" s="60"/>
      <c r="M104" s="54"/>
      <c r="N104" s="33"/>
      <c r="O104" s="10"/>
    </row>
    <row r="105" spans="2:15" x14ac:dyDescent="0.4">
      <c r="B105" s="42">
        <v>99</v>
      </c>
      <c r="C105" s="50"/>
      <c r="D105" s="10"/>
      <c r="E105" s="10"/>
      <c r="F105" s="10"/>
      <c r="G105" s="10"/>
      <c r="H105" s="10"/>
      <c r="I105" s="10"/>
      <c r="J105" s="10"/>
      <c r="K105" s="33"/>
      <c r="L105" s="60"/>
      <c r="M105" s="54"/>
      <c r="N105" s="33"/>
      <c r="O105" s="10"/>
    </row>
    <row r="106" spans="2:15" x14ac:dyDescent="0.4">
      <c r="B106" s="42">
        <v>100</v>
      </c>
      <c r="C106" s="50"/>
      <c r="D106" s="10"/>
      <c r="E106" s="10"/>
      <c r="F106" s="10"/>
      <c r="G106" s="10"/>
      <c r="H106" s="10"/>
      <c r="I106" s="10"/>
      <c r="J106" s="10"/>
      <c r="K106" s="33"/>
      <c r="L106" s="60"/>
      <c r="M106" s="54"/>
      <c r="N106" s="33"/>
      <c r="O106" s="10"/>
    </row>
    <row r="107" spans="2:15" x14ac:dyDescent="0.4">
      <c r="B107" s="42">
        <v>101</v>
      </c>
      <c r="C107" s="50"/>
      <c r="D107" s="10"/>
      <c r="E107" s="10"/>
      <c r="F107" s="10"/>
      <c r="G107" s="10"/>
      <c r="H107" s="10"/>
      <c r="I107" s="10"/>
      <c r="J107" s="10"/>
      <c r="K107" s="33"/>
      <c r="L107" s="60"/>
      <c r="M107" s="54"/>
      <c r="N107" s="33"/>
      <c r="O107" s="10"/>
    </row>
    <row r="108" spans="2:15" x14ac:dyDescent="0.4">
      <c r="B108" s="42">
        <v>102</v>
      </c>
      <c r="C108" s="50"/>
      <c r="D108" s="10"/>
      <c r="E108" s="10"/>
      <c r="F108" s="10"/>
      <c r="G108" s="10"/>
      <c r="H108" s="10"/>
      <c r="I108" s="10"/>
      <c r="J108" s="10"/>
      <c r="K108" s="33"/>
      <c r="L108" s="60"/>
      <c r="M108" s="54"/>
      <c r="N108" s="33"/>
      <c r="O108" s="10"/>
    </row>
    <row r="109" spans="2:15" ht="19.5" thickBot="1" x14ac:dyDescent="0.45">
      <c r="B109" s="42">
        <v>103</v>
      </c>
      <c r="C109" s="51"/>
      <c r="D109" s="7"/>
      <c r="E109" s="7"/>
      <c r="F109" s="7"/>
      <c r="G109" s="7"/>
      <c r="H109" s="7"/>
      <c r="I109" s="7"/>
      <c r="J109" s="7"/>
      <c r="K109" s="32"/>
      <c r="L109" s="61"/>
      <c r="M109" s="55"/>
      <c r="N109" s="32"/>
      <c r="O109" s="10"/>
    </row>
  </sheetData>
  <mergeCells count="1">
    <mergeCell ref="D5:F5"/>
  </mergeCells>
  <phoneticPr fontId="2"/>
  <conditionalFormatting sqref="B1:B1048576 L1:L1048576">
    <cfRule type="expression" dxfId="20" priority="6">
      <formula>$L1="△"</formula>
    </cfRule>
    <cfRule type="expression" dxfId="19" priority="7">
      <formula>$L1="×"</formula>
    </cfRule>
  </conditionalFormatting>
  <conditionalFormatting sqref="C1:C1048576">
    <cfRule type="cellIs" dxfId="18" priority="3" operator="equal">
      <formula>"長沢"</formula>
    </cfRule>
    <cfRule type="cellIs" dxfId="17" priority="4" operator="equal">
      <formula>"斉藤"</formula>
    </cfRule>
    <cfRule type="cellIs" dxfId="16" priority="5" operator="equal">
      <formula>"光沢"</formula>
    </cfRule>
  </conditionalFormatting>
  <conditionalFormatting sqref="G1:G1048576">
    <cfRule type="cellIs" dxfId="15" priority="1" operator="equal">
      <formula>"準異常系"</formula>
    </cfRule>
    <cfRule type="cellIs" dxfId="14" priority="2" operator="equal">
      <formula>"正常系"</formula>
    </cfRule>
  </conditionalFormatting>
  <dataValidations count="2">
    <dataValidation type="list" allowBlank="1" showInputMessage="1" showErrorMessage="1" sqref="C4:C1048576 C1" xr:uid="{82177BB3-FACD-4A8E-9808-417C46132F8D}">
      <formula1>"光沢,斉藤,長沢"</formula1>
    </dataValidation>
    <dataValidation type="list" allowBlank="1" showInputMessage="1" showErrorMessage="1" sqref="L7:L109" xr:uid="{C9EC57AC-3FCD-44B4-ADFC-FB4F99221D5C}">
      <formula1>"〇,△,×"</formula1>
    </dataValidation>
  </dataValidations>
  <pageMargins left="0.70866141732283472" right="0.70866141732283472" top="0.74803149606299213" bottom="0.74803149606299213" header="0.31496062992125984" footer="0.31496062992125984"/>
  <pageSetup paperSize="9" scale="52" fitToHeight="0" orientation="landscape"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E0CEDEAA-59D3-42AD-9120-8F30A2770520}">
          <x14:formula1>
            <xm:f>参考!$A$2:$A$4</xm:f>
          </x14:formula1>
          <xm:sqref>G7:G99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5C158-2F6A-4FCE-AFDE-63F2BAAD3CD9}">
  <sheetPr>
    <tabColor rgb="FF00B050"/>
    <pageSetUpPr fitToPage="1"/>
  </sheetPr>
  <dimension ref="B1:P86"/>
  <sheetViews>
    <sheetView zoomScale="80" zoomScaleNormal="80" workbookViewId="0">
      <pane xSplit="2" ySplit="6" topLeftCell="C7" activePane="bottomRight" state="frozen"/>
      <selection pane="topRight" activeCell="C1" sqref="C1"/>
      <selection pane="bottomLeft" activeCell="A7" sqref="A7"/>
      <selection pane="bottomRight" activeCell="K68" sqref="K68"/>
    </sheetView>
  </sheetViews>
  <sheetFormatPr defaultColWidth="8.75" defaultRowHeight="18.75" x14ac:dyDescent="0.4"/>
  <cols>
    <col min="1" max="1" width="2.5" style="2" bestFit="1" customWidth="1"/>
    <col min="2" max="2" width="4.5" style="1" bestFit="1" customWidth="1"/>
    <col min="3" max="3" width="9.25" style="1" customWidth="1"/>
    <col min="4" max="4" width="16.75" style="1" customWidth="1"/>
    <col min="5" max="6" width="21.25" style="1" customWidth="1"/>
    <col min="7" max="7" width="35.625" style="1" customWidth="1"/>
    <col min="8" max="8" width="36.875" style="1" customWidth="1"/>
    <col min="9" max="10" width="15.5" style="1" customWidth="1"/>
    <col min="11" max="11" width="26.125" style="1" customWidth="1"/>
    <col min="12" max="12" width="28.625" style="1" customWidth="1"/>
    <col min="13" max="13" width="74" style="77" bestFit="1" customWidth="1"/>
    <col min="14" max="16" width="8.25" style="1" customWidth="1"/>
    <col min="17" max="17" width="8.25" style="2" customWidth="1"/>
    <col min="18" max="16384" width="8.75" style="2"/>
  </cols>
  <sheetData>
    <row r="1" spans="2:16" ht="12" customHeight="1" x14ac:dyDescent="0.4"/>
    <row r="2" spans="2:16" ht="39" customHeight="1" x14ac:dyDescent="0.4">
      <c r="E2" s="103" t="s">
        <v>550</v>
      </c>
      <c r="F2" s="93" t="s">
        <v>551</v>
      </c>
      <c r="G2" s="94" t="s">
        <v>779</v>
      </c>
      <c r="H2" s="95" t="s">
        <v>552</v>
      </c>
      <c r="K2" s="97"/>
    </row>
    <row r="3" spans="2:16" ht="39" customHeight="1" x14ac:dyDescent="0.4">
      <c r="E3" s="103">
        <f>COUNTA($H$7:$H$10021)</f>
        <v>61</v>
      </c>
      <c r="F3" s="93">
        <f>COUNTIFS($H$7:$H$10021,"&lt;&gt;",$I$7:$I$10021,"")</f>
        <v>0</v>
      </c>
      <c r="G3" s="94" cm="1">
        <f t="array" ref="G3">SUM(COUNTIF($I$7:$I$10021,{"△","×"}))</f>
        <v>3</v>
      </c>
      <c r="H3" s="95">
        <f>COUNTIF($I$7:$I$10021, "〇")</f>
        <v>58</v>
      </c>
      <c r="K3" s="98" t="s">
        <v>576</v>
      </c>
    </row>
    <row r="4" spans="2:16" ht="12.6" customHeight="1" thickBot="1" x14ac:dyDescent="0.45"/>
    <row r="5" spans="2:16" ht="42.75" customHeight="1" x14ac:dyDescent="0.4">
      <c r="B5" s="3"/>
      <c r="C5" s="29"/>
      <c r="D5" s="135" t="s">
        <v>0</v>
      </c>
      <c r="E5" s="137"/>
      <c r="F5" s="4" t="s">
        <v>566</v>
      </c>
      <c r="G5" s="4" t="s">
        <v>567</v>
      </c>
      <c r="H5" s="31"/>
      <c r="I5" s="62" t="s">
        <v>522</v>
      </c>
      <c r="J5" s="31" t="s">
        <v>524</v>
      </c>
      <c r="K5" s="31" t="s">
        <v>520</v>
      </c>
      <c r="L5" s="5" t="s">
        <v>789</v>
      </c>
      <c r="M5" s="1"/>
      <c r="N5" s="2"/>
      <c r="O5" s="2"/>
      <c r="P5" s="2"/>
    </row>
    <row r="6" spans="2:16" ht="19.5" thickBot="1" x14ac:dyDescent="0.45">
      <c r="B6" s="6" t="s">
        <v>4</v>
      </c>
      <c r="C6" s="30" t="s">
        <v>505</v>
      </c>
      <c r="D6" s="7" t="s">
        <v>6</v>
      </c>
      <c r="E6" s="7" t="s">
        <v>7</v>
      </c>
      <c r="F6" s="7" t="s">
        <v>10</v>
      </c>
      <c r="G6" s="7" t="s">
        <v>11</v>
      </c>
      <c r="H6" s="32" t="s">
        <v>12</v>
      </c>
      <c r="I6" s="61" t="s">
        <v>523</v>
      </c>
      <c r="J6" s="57" t="s">
        <v>564</v>
      </c>
      <c r="K6" s="32"/>
      <c r="L6" s="8" t="s">
        <v>793</v>
      </c>
      <c r="M6" s="1"/>
      <c r="N6" s="2"/>
      <c r="O6" s="2"/>
      <c r="P6" s="2"/>
    </row>
    <row r="7" spans="2:16" ht="37.5" x14ac:dyDescent="0.4">
      <c r="B7" s="13">
        <v>1</v>
      </c>
      <c r="C7" s="120" t="s">
        <v>545</v>
      </c>
      <c r="D7" s="121" t="s">
        <v>568</v>
      </c>
      <c r="E7" s="121" t="s">
        <v>627</v>
      </c>
      <c r="F7" s="121" t="s">
        <v>628</v>
      </c>
      <c r="G7" s="122" t="s">
        <v>665</v>
      </c>
      <c r="H7" s="121" t="s">
        <v>663</v>
      </c>
      <c r="I7" s="123" t="s">
        <v>525</v>
      </c>
      <c r="J7" s="124">
        <v>46161</v>
      </c>
      <c r="K7" s="117"/>
      <c r="L7" s="26"/>
      <c r="M7" s="1"/>
      <c r="N7" s="2"/>
      <c r="O7" s="2"/>
      <c r="P7" s="2"/>
    </row>
    <row r="8" spans="2:16" ht="37.5" x14ac:dyDescent="0.4">
      <c r="B8" s="9">
        <v>2</v>
      </c>
      <c r="C8" s="96" t="s">
        <v>545</v>
      </c>
      <c r="D8" s="18"/>
      <c r="E8" s="18"/>
      <c r="F8" s="18"/>
      <c r="G8" s="17"/>
      <c r="H8" s="10" t="s">
        <v>664</v>
      </c>
      <c r="I8" s="60" t="s">
        <v>525</v>
      </c>
      <c r="J8" s="68">
        <v>46161</v>
      </c>
      <c r="K8" s="33"/>
      <c r="L8" s="10"/>
      <c r="M8" s="1"/>
      <c r="N8" s="2"/>
      <c r="O8" s="2"/>
      <c r="P8" s="2"/>
    </row>
    <row r="9" spans="2:16" x14ac:dyDescent="0.4">
      <c r="B9" s="9">
        <v>3</v>
      </c>
      <c r="C9" s="96" t="s">
        <v>545</v>
      </c>
      <c r="D9" s="18"/>
      <c r="E9" s="10" t="s">
        <v>639</v>
      </c>
      <c r="F9" s="10" t="s">
        <v>626</v>
      </c>
      <c r="G9" s="17" t="s">
        <v>565</v>
      </c>
      <c r="H9" s="10" t="s">
        <v>573</v>
      </c>
      <c r="I9" s="60" t="s">
        <v>525</v>
      </c>
      <c r="J9" s="68">
        <v>46161</v>
      </c>
      <c r="K9" s="33"/>
      <c r="L9" s="10"/>
      <c r="M9" s="1"/>
      <c r="N9" s="2"/>
      <c r="O9" s="2"/>
      <c r="P9" s="2"/>
    </row>
    <row r="10" spans="2:16" x14ac:dyDescent="0.4">
      <c r="B10" s="9">
        <v>4</v>
      </c>
      <c r="C10" s="96" t="s">
        <v>545</v>
      </c>
      <c r="D10" s="10"/>
      <c r="E10" s="10" t="s">
        <v>622</v>
      </c>
      <c r="F10" s="18" t="s">
        <v>626</v>
      </c>
      <c r="G10" s="17" t="s">
        <v>624</v>
      </c>
      <c r="H10" s="10" t="s">
        <v>625</v>
      </c>
      <c r="I10" s="60" t="s">
        <v>525</v>
      </c>
      <c r="J10" s="68">
        <v>46161</v>
      </c>
      <c r="K10" s="33"/>
      <c r="L10" s="10"/>
      <c r="M10" s="1"/>
      <c r="N10" s="2"/>
      <c r="O10" s="2"/>
      <c r="P10" s="2"/>
    </row>
    <row r="11" spans="2:16" x14ac:dyDescent="0.4">
      <c r="B11" s="9">
        <v>5</v>
      </c>
      <c r="C11" s="96" t="s">
        <v>545</v>
      </c>
      <c r="D11" s="10" t="s">
        <v>569</v>
      </c>
      <c r="E11" s="10" t="s">
        <v>687</v>
      </c>
      <c r="F11" s="99" t="s">
        <v>584</v>
      </c>
      <c r="G11" s="99" t="s">
        <v>583</v>
      </c>
      <c r="H11" s="100" t="s">
        <v>610</v>
      </c>
      <c r="I11" s="60" t="s">
        <v>525</v>
      </c>
      <c r="J11" s="68">
        <v>46161</v>
      </c>
      <c r="K11" s="33"/>
      <c r="L11" s="10"/>
      <c r="M11" s="1"/>
      <c r="N11" s="2"/>
      <c r="O11" s="2"/>
      <c r="P11" s="2"/>
    </row>
    <row r="12" spans="2:16" ht="56.25" x14ac:dyDescent="0.4">
      <c r="B12" s="9">
        <v>6</v>
      </c>
      <c r="C12" s="96" t="s">
        <v>545</v>
      </c>
      <c r="D12" s="10"/>
      <c r="E12" s="10"/>
      <c r="F12" s="99"/>
      <c r="G12" s="99" t="s">
        <v>571</v>
      </c>
      <c r="H12" s="101" t="s">
        <v>570</v>
      </c>
      <c r="I12" s="60" t="s">
        <v>525</v>
      </c>
      <c r="J12" s="68">
        <v>46161</v>
      </c>
      <c r="K12" s="33" t="s">
        <v>782</v>
      </c>
      <c r="L12" s="10" t="s">
        <v>794</v>
      </c>
      <c r="M12" s="1"/>
      <c r="N12" s="2"/>
      <c r="O12" s="2"/>
      <c r="P12" s="2"/>
    </row>
    <row r="13" spans="2:16" x14ac:dyDescent="0.4">
      <c r="B13" s="9">
        <v>7</v>
      </c>
      <c r="C13" s="96" t="s">
        <v>545</v>
      </c>
      <c r="D13" s="10"/>
      <c r="E13" s="10"/>
      <c r="F13" s="99"/>
      <c r="G13" s="99" t="s">
        <v>572</v>
      </c>
      <c r="H13" s="101" t="s">
        <v>575</v>
      </c>
      <c r="I13" s="60" t="s">
        <v>525</v>
      </c>
      <c r="J13" s="68">
        <v>46161</v>
      </c>
      <c r="K13" s="33"/>
      <c r="L13" s="10"/>
      <c r="M13" s="2"/>
      <c r="N13" s="2"/>
      <c r="O13" s="2"/>
      <c r="P13" s="2"/>
    </row>
    <row r="14" spans="2:16" ht="37.5" x14ac:dyDescent="0.4">
      <c r="B14" s="9">
        <v>8</v>
      </c>
      <c r="C14" s="96" t="s">
        <v>545</v>
      </c>
      <c r="D14" s="10"/>
      <c r="E14" s="10"/>
      <c r="F14" s="94" t="s">
        <v>602</v>
      </c>
      <c r="G14" s="94" t="s">
        <v>596</v>
      </c>
      <c r="H14" s="102" t="s">
        <v>579</v>
      </c>
      <c r="I14" s="60" t="s">
        <v>525</v>
      </c>
      <c r="J14" s="68">
        <v>46161</v>
      </c>
      <c r="K14" s="33"/>
      <c r="L14" s="10"/>
      <c r="M14" s="2"/>
      <c r="N14" s="2"/>
      <c r="O14" s="2"/>
      <c r="P14" s="2"/>
    </row>
    <row r="15" spans="2:16" ht="37.5" x14ac:dyDescent="0.4">
      <c r="B15" s="9">
        <v>9</v>
      </c>
      <c r="C15" s="96" t="s">
        <v>545</v>
      </c>
      <c r="D15" s="10"/>
      <c r="E15" s="10"/>
      <c r="F15" s="99" t="s">
        <v>585</v>
      </c>
      <c r="G15" s="99" t="s">
        <v>587</v>
      </c>
      <c r="H15" s="101" t="s">
        <v>610</v>
      </c>
      <c r="I15" s="60" t="s">
        <v>525</v>
      </c>
      <c r="J15" s="68">
        <v>46161</v>
      </c>
      <c r="K15" s="33"/>
      <c r="L15" s="10"/>
      <c r="M15" s="1"/>
      <c r="N15" s="2"/>
      <c r="O15" s="2"/>
      <c r="P15" s="2"/>
    </row>
    <row r="16" spans="2:16" x14ac:dyDescent="0.4">
      <c r="B16" s="9">
        <v>10</v>
      </c>
      <c r="C16" s="96" t="s">
        <v>545</v>
      </c>
      <c r="D16" s="10"/>
      <c r="E16" s="10"/>
      <c r="F16" s="99"/>
      <c r="G16" s="99" t="s">
        <v>572</v>
      </c>
      <c r="H16" s="101" t="s">
        <v>575</v>
      </c>
      <c r="I16" s="60" t="s">
        <v>783</v>
      </c>
      <c r="J16" s="68">
        <v>46161</v>
      </c>
      <c r="K16" s="33"/>
      <c r="L16" s="10"/>
      <c r="M16" s="1"/>
      <c r="N16" s="2"/>
      <c r="O16" s="2"/>
      <c r="P16" s="2"/>
    </row>
    <row r="17" spans="2:16" ht="37.5" x14ac:dyDescent="0.4">
      <c r="B17" s="9">
        <v>11</v>
      </c>
      <c r="C17" s="96" t="s">
        <v>545</v>
      </c>
      <c r="D17" s="10"/>
      <c r="E17" s="10"/>
      <c r="F17" s="94" t="s">
        <v>603</v>
      </c>
      <c r="G17" s="94" t="s">
        <v>595</v>
      </c>
      <c r="H17" s="102" t="s">
        <v>580</v>
      </c>
      <c r="I17" s="60" t="s">
        <v>525</v>
      </c>
      <c r="J17" s="68">
        <v>46161</v>
      </c>
      <c r="K17" s="33"/>
      <c r="L17" s="10"/>
      <c r="M17" s="1"/>
      <c r="N17" s="2"/>
      <c r="O17" s="2"/>
      <c r="P17" s="2"/>
    </row>
    <row r="18" spans="2:16" x14ac:dyDescent="0.4">
      <c r="B18" s="9">
        <v>12</v>
      </c>
      <c r="C18" s="96" t="s">
        <v>545</v>
      </c>
      <c r="D18" s="10"/>
      <c r="E18" s="10"/>
      <c r="F18" s="99" t="s">
        <v>586</v>
      </c>
      <c r="G18" s="99" t="s">
        <v>588</v>
      </c>
      <c r="H18" s="101" t="s">
        <v>610</v>
      </c>
      <c r="I18" s="60" t="s">
        <v>525</v>
      </c>
      <c r="J18" s="68">
        <v>46161</v>
      </c>
      <c r="K18" s="33"/>
      <c r="L18" s="10"/>
      <c r="M18" s="1"/>
      <c r="N18" s="2"/>
      <c r="O18" s="2"/>
      <c r="P18" s="2"/>
    </row>
    <row r="19" spans="2:16" x14ac:dyDescent="0.4">
      <c r="B19" s="9">
        <v>13</v>
      </c>
      <c r="C19" s="96" t="s">
        <v>545</v>
      </c>
      <c r="D19" s="10"/>
      <c r="E19" s="10"/>
      <c r="F19" s="99"/>
      <c r="G19" s="99" t="s">
        <v>577</v>
      </c>
      <c r="H19" s="101" t="s">
        <v>578</v>
      </c>
      <c r="I19" s="60" t="s">
        <v>525</v>
      </c>
      <c r="J19" s="68">
        <v>46161</v>
      </c>
      <c r="K19" s="33"/>
      <c r="L19" s="10"/>
      <c r="M19" s="1"/>
      <c r="N19" s="2"/>
      <c r="O19" s="2"/>
      <c r="P19" s="2"/>
    </row>
    <row r="20" spans="2:16" ht="37.5" x14ac:dyDescent="0.4">
      <c r="B20" s="9">
        <v>14</v>
      </c>
      <c r="C20" s="96" t="s">
        <v>545</v>
      </c>
      <c r="D20" s="10"/>
      <c r="E20" s="10"/>
      <c r="F20" s="94" t="s">
        <v>604</v>
      </c>
      <c r="G20" s="94" t="s">
        <v>594</v>
      </c>
      <c r="H20" s="102" t="s">
        <v>581</v>
      </c>
      <c r="I20" s="60" t="s">
        <v>525</v>
      </c>
      <c r="J20" s="68">
        <v>46161</v>
      </c>
      <c r="K20" s="33"/>
      <c r="L20" s="10"/>
      <c r="M20" s="1"/>
      <c r="N20" s="2"/>
      <c r="O20" s="2"/>
      <c r="P20" s="2"/>
    </row>
    <row r="21" spans="2:16" x14ac:dyDescent="0.4">
      <c r="B21" s="9">
        <v>15</v>
      </c>
      <c r="C21" s="96" t="s">
        <v>545</v>
      </c>
      <c r="D21" s="10"/>
      <c r="E21" s="10"/>
      <c r="F21" s="99" t="s">
        <v>582</v>
      </c>
      <c r="G21" s="99" t="s">
        <v>589</v>
      </c>
      <c r="H21" s="101" t="s">
        <v>610</v>
      </c>
      <c r="I21" s="60" t="s">
        <v>783</v>
      </c>
      <c r="J21" s="68">
        <v>46161</v>
      </c>
      <c r="K21" s="33"/>
      <c r="L21" s="10"/>
      <c r="M21" s="1"/>
      <c r="N21" s="2"/>
      <c r="O21" s="2"/>
      <c r="P21" s="2"/>
    </row>
    <row r="22" spans="2:16" x14ac:dyDescent="0.4">
      <c r="B22" s="9">
        <v>16</v>
      </c>
      <c r="C22" s="96" t="s">
        <v>545</v>
      </c>
      <c r="D22" s="10"/>
      <c r="E22" s="10"/>
      <c r="F22" s="99"/>
      <c r="G22" s="99" t="s">
        <v>590</v>
      </c>
      <c r="H22" s="101" t="s">
        <v>591</v>
      </c>
      <c r="I22" s="60" t="s">
        <v>525</v>
      </c>
      <c r="J22" s="68">
        <v>46161</v>
      </c>
      <c r="K22" s="33"/>
      <c r="L22" s="10"/>
      <c r="M22" s="1"/>
      <c r="N22" s="2"/>
      <c r="O22" s="2"/>
      <c r="P22" s="2"/>
    </row>
    <row r="23" spans="2:16" ht="37.5" x14ac:dyDescent="0.4">
      <c r="B23" s="9">
        <v>17</v>
      </c>
      <c r="C23" s="96" t="s">
        <v>545</v>
      </c>
      <c r="D23" s="10"/>
      <c r="E23" s="10"/>
      <c r="F23" s="94" t="s">
        <v>605</v>
      </c>
      <c r="G23" s="94" t="s">
        <v>593</v>
      </c>
      <c r="H23" s="102" t="s">
        <v>592</v>
      </c>
      <c r="I23" s="60" t="s">
        <v>525</v>
      </c>
      <c r="J23" s="68">
        <v>46161</v>
      </c>
      <c r="K23" s="33"/>
      <c r="L23" s="10"/>
      <c r="M23" s="1"/>
      <c r="N23" s="2"/>
      <c r="O23" s="2"/>
      <c r="P23" s="2"/>
    </row>
    <row r="24" spans="2:16" x14ac:dyDescent="0.4">
      <c r="B24" s="9">
        <v>18</v>
      </c>
      <c r="C24" s="96" t="s">
        <v>545</v>
      </c>
      <c r="D24" s="10"/>
      <c r="E24" s="10"/>
      <c r="F24" s="99" t="s">
        <v>597</v>
      </c>
      <c r="G24" s="99" t="s">
        <v>599</v>
      </c>
      <c r="H24" s="101" t="s">
        <v>610</v>
      </c>
      <c r="I24" s="60" t="s">
        <v>783</v>
      </c>
      <c r="J24" s="68">
        <v>46161</v>
      </c>
      <c r="K24" s="33"/>
      <c r="L24" s="10"/>
      <c r="M24" s="1"/>
      <c r="N24" s="2"/>
      <c r="O24" s="2"/>
      <c r="P24" s="2"/>
    </row>
    <row r="25" spans="2:16" ht="56.25" x14ac:dyDescent="0.4">
      <c r="B25" s="9">
        <v>19</v>
      </c>
      <c r="C25" s="96" t="s">
        <v>545</v>
      </c>
      <c r="D25" s="10"/>
      <c r="E25" s="10"/>
      <c r="F25" s="99"/>
      <c r="G25" s="99" t="s">
        <v>598</v>
      </c>
      <c r="H25" s="101" t="s">
        <v>600</v>
      </c>
      <c r="I25" s="60" t="s">
        <v>525</v>
      </c>
      <c r="J25" s="68">
        <v>46161</v>
      </c>
      <c r="K25" s="33"/>
      <c r="L25" s="10"/>
      <c r="M25" s="1"/>
      <c r="N25" s="2"/>
      <c r="O25" s="2"/>
      <c r="P25" s="2"/>
    </row>
    <row r="26" spans="2:16" x14ac:dyDescent="0.4">
      <c r="B26" s="9">
        <v>20</v>
      </c>
      <c r="C26" s="96" t="s">
        <v>545</v>
      </c>
      <c r="D26" s="10"/>
      <c r="E26" s="10"/>
      <c r="F26" s="99" t="s">
        <v>601</v>
      </c>
      <c r="G26" s="99" t="s">
        <v>589</v>
      </c>
      <c r="H26" s="101" t="s">
        <v>610</v>
      </c>
      <c r="I26" s="60" t="s">
        <v>525</v>
      </c>
      <c r="J26" s="68">
        <v>46161</v>
      </c>
      <c r="K26" s="33"/>
      <c r="L26" s="10"/>
      <c r="M26" s="1"/>
      <c r="N26" s="2"/>
      <c r="O26" s="2"/>
      <c r="P26" s="2"/>
    </row>
    <row r="27" spans="2:16" x14ac:dyDescent="0.4">
      <c r="B27" s="9">
        <v>21</v>
      </c>
      <c r="C27" s="96" t="s">
        <v>545</v>
      </c>
      <c r="D27" s="10"/>
      <c r="E27" s="10"/>
      <c r="F27" s="99"/>
      <c r="G27" s="99" t="s">
        <v>590</v>
      </c>
      <c r="H27" s="101" t="s">
        <v>591</v>
      </c>
      <c r="I27" s="60" t="s">
        <v>783</v>
      </c>
      <c r="J27" s="68">
        <v>46161</v>
      </c>
      <c r="K27" s="33"/>
      <c r="L27" s="10"/>
      <c r="M27" s="1"/>
      <c r="N27" s="2"/>
      <c r="O27" s="2"/>
      <c r="P27" s="2"/>
    </row>
    <row r="28" spans="2:16" ht="37.5" x14ac:dyDescent="0.4">
      <c r="B28" s="9">
        <v>22</v>
      </c>
      <c r="C28" s="96" t="s">
        <v>545</v>
      </c>
      <c r="D28" s="10"/>
      <c r="E28" s="10"/>
      <c r="F28" s="94" t="s">
        <v>606</v>
      </c>
      <c r="G28" s="94" t="s">
        <v>607</v>
      </c>
      <c r="H28" s="102" t="s">
        <v>647</v>
      </c>
      <c r="I28" s="60" t="s">
        <v>525</v>
      </c>
      <c r="J28" s="68">
        <v>46161</v>
      </c>
      <c r="K28" s="33"/>
      <c r="L28" s="10"/>
      <c r="M28" s="1"/>
      <c r="N28" s="2"/>
      <c r="O28" s="2"/>
      <c r="P28" s="2"/>
    </row>
    <row r="29" spans="2:16" ht="37.5" x14ac:dyDescent="0.4">
      <c r="B29" s="9">
        <v>23</v>
      </c>
      <c r="C29" s="96" t="s">
        <v>545</v>
      </c>
      <c r="D29" s="10"/>
      <c r="E29" s="10"/>
      <c r="F29" s="103" t="s">
        <v>670</v>
      </c>
      <c r="G29" s="103" t="s">
        <v>617</v>
      </c>
      <c r="H29" s="104" t="s">
        <v>618</v>
      </c>
      <c r="I29" s="60" t="s">
        <v>525</v>
      </c>
      <c r="J29" s="68">
        <v>46161</v>
      </c>
      <c r="K29" s="33"/>
      <c r="L29" s="10"/>
      <c r="M29" s="1"/>
      <c r="N29" s="2"/>
      <c r="O29" s="2"/>
      <c r="P29" s="2"/>
    </row>
    <row r="30" spans="2:16" x14ac:dyDescent="0.4">
      <c r="B30" s="9">
        <v>24</v>
      </c>
      <c r="C30" s="96" t="s">
        <v>545</v>
      </c>
      <c r="D30" s="10"/>
      <c r="E30" s="10"/>
      <c r="F30" s="103"/>
      <c r="G30" s="103" t="s">
        <v>619</v>
      </c>
      <c r="H30" s="104" t="s">
        <v>620</v>
      </c>
      <c r="I30" s="60" t="s">
        <v>783</v>
      </c>
      <c r="J30" s="68">
        <v>46161</v>
      </c>
      <c r="K30" s="33"/>
      <c r="L30" s="10"/>
      <c r="M30" s="1"/>
      <c r="N30" s="2"/>
      <c r="O30" s="2"/>
      <c r="P30" s="2"/>
    </row>
    <row r="31" spans="2:16" x14ac:dyDescent="0.4">
      <c r="B31" s="9">
        <v>25</v>
      </c>
      <c r="C31" s="96" t="s">
        <v>545</v>
      </c>
      <c r="D31" s="10"/>
      <c r="E31" s="10"/>
      <c r="F31" s="103"/>
      <c r="G31" s="103" t="s">
        <v>621</v>
      </c>
      <c r="H31" s="104" t="s">
        <v>676</v>
      </c>
      <c r="I31" s="60" t="s">
        <v>783</v>
      </c>
      <c r="J31" s="68">
        <v>46161</v>
      </c>
      <c r="K31" s="33"/>
      <c r="L31" s="10"/>
      <c r="M31" s="1"/>
      <c r="N31" s="2"/>
      <c r="O31" s="2"/>
      <c r="P31" s="2"/>
    </row>
    <row r="32" spans="2:16" ht="37.5" x14ac:dyDescent="0.4">
      <c r="B32" s="9">
        <v>26</v>
      </c>
      <c r="C32" s="96" t="s">
        <v>545</v>
      </c>
      <c r="D32" s="10"/>
      <c r="E32" s="10"/>
      <c r="F32" s="99" t="s">
        <v>608</v>
      </c>
      <c r="G32" s="99" t="s">
        <v>609</v>
      </c>
      <c r="H32" s="101" t="s">
        <v>610</v>
      </c>
      <c r="I32" s="60" t="s">
        <v>783</v>
      </c>
      <c r="J32" s="68">
        <v>46161</v>
      </c>
      <c r="K32" s="33"/>
      <c r="L32" s="10"/>
      <c r="M32" s="1"/>
      <c r="N32" s="2"/>
      <c r="O32" s="2"/>
      <c r="P32" s="2"/>
    </row>
    <row r="33" spans="2:16" x14ac:dyDescent="0.4">
      <c r="B33" s="9">
        <v>27</v>
      </c>
      <c r="C33" s="96" t="s">
        <v>545</v>
      </c>
      <c r="D33" s="10"/>
      <c r="E33" s="10"/>
      <c r="F33" s="99"/>
      <c r="G33" s="99" t="s">
        <v>683</v>
      </c>
      <c r="H33" s="100" t="s">
        <v>570</v>
      </c>
      <c r="I33" s="60" t="s">
        <v>783</v>
      </c>
      <c r="J33" s="68">
        <v>46161</v>
      </c>
      <c r="K33" s="33"/>
      <c r="L33" s="10"/>
      <c r="M33" s="1"/>
      <c r="N33" s="2"/>
      <c r="O33" s="2"/>
      <c r="P33" s="2"/>
    </row>
    <row r="34" spans="2:16" ht="37.5" x14ac:dyDescent="0.4">
      <c r="B34" s="9">
        <v>28</v>
      </c>
      <c r="C34" s="96" t="s">
        <v>545</v>
      </c>
      <c r="D34" s="10"/>
      <c r="E34" s="10"/>
      <c r="F34" s="99" t="s">
        <v>611</v>
      </c>
      <c r="G34" s="99" t="s">
        <v>612</v>
      </c>
      <c r="H34" s="100" t="s">
        <v>613</v>
      </c>
      <c r="I34" s="60" t="s">
        <v>783</v>
      </c>
      <c r="J34" s="68">
        <v>46161</v>
      </c>
      <c r="K34" s="33"/>
      <c r="L34" s="10"/>
      <c r="M34" s="1"/>
      <c r="N34" s="2"/>
      <c r="O34" s="2"/>
      <c r="P34" s="2"/>
    </row>
    <row r="35" spans="2:16" x14ac:dyDescent="0.4">
      <c r="B35" s="9">
        <v>29</v>
      </c>
      <c r="C35" s="96" t="s">
        <v>545</v>
      </c>
      <c r="D35" s="10"/>
      <c r="E35" s="18"/>
      <c r="F35" s="105" t="s">
        <v>614</v>
      </c>
      <c r="G35" s="105" t="s">
        <v>615</v>
      </c>
      <c r="H35" s="106" t="s">
        <v>616</v>
      </c>
      <c r="I35" s="60" t="s">
        <v>525</v>
      </c>
      <c r="J35" s="68">
        <v>46161</v>
      </c>
      <c r="K35" s="33"/>
      <c r="L35" s="10"/>
      <c r="M35" s="1"/>
      <c r="N35" s="2"/>
      <c r="O35" s="2"/>
      <c r="P35" s="2"/>
    </row>
    <row r="36" spans="2:16" x14ac:dyDescent="0.4">
      <c r="B36" s="9">
        <v>30</v>
      </c>
      <c r="C36" s="96" t="s">
        <v>545</v>
      </c>
      <c r="D36" s="2"/>
      <c r="E36" s="10" t="s">
        <v>369</v>
      </c>
      <c r="F36" s="10" t="s">
        <v>626</v>
      </c>
      <c r="G36" s="10" t="s">
        <v>370</v>
      </c>
      <c r="H36" s="10" t="s">
        <v>574</v>
      </c>
      <c r="I36" s="60" t="s">
        <v>525</v>
      </c>
      <c r="J36" s="68">
        <v>46161</v>
      </c>
      <c r="K36" s="33"/>
      <c r="L36" s="10"/>
      <c r="M36" s="1"/>
      <c r="N36" s="2"/>
      <c r="O36" s="2"/>
      <c r="P36" s="2"/>
    </row>
    <row r="37" spans="2:16" ht="56.25" x14ac:dyDescent="0.4">
      <c r="B37" s="9">
        <v>31</v>
      </c>
      <c r="C37" s="96" t="s">
        <v>545</v>
      </c>
      <c r="D37" s="10" t="s">
        <v>623</v>
      </c>
      <c r="E37" s="10" t="s">
        <v>627</v>
      </c>
      <c r="F37" s="10" t="s">
        <v>628</v>
      </c>
      <c r="G37" s="10" t="s">
        <v>671</v>
      </c>
      <c r="H37" s="10" t="s">
        <v>629</v>
      </c>
      <c r="I37" s="60" t="s">
        <v>525</v>
      </c>
      <c r="J37" s="68">
        <v>46161</v>
      </c>
      <c r="K37" s="33"/>
      <c r="L37" s="10"/>
      <c r="M37" s="1"/>
      <c r="N37" s="2"/>
      <c r="O37" s="2"/>
      <c r="P37" s="2"/>
    </row>
    <row r="38" spans="2:16" ht="37.5" x14ac:dyDescent="0.4">
      <c r="B38" s="9">
        <v>32</v>
      </c>
      <c r="C38" s="96" t="s">
        <v>545</v>
      </c>
      <c r="D38" s="10"/>
      <c r="E38" s="10"/>
      <c r="F38" s="10"/>
      <c r="G38" s="10" t="s">
        <v>673</v>
      </c>
      <c r="H38" s="10" t="s">
        <v>629</v>
      </c>
      <c r="I38" s="60" t="s">
        <v>783</v>
      </c>
      <c r="J38" s="68">
        <v>46161</v>
      </c>
      <c r="K38" s="33"/>
      <c r="L38" s="10"/>
      <c r="M38" s="1"/>
      <c r="N38" s="2"/>
      <c r="O38" s="2"/>
      <c r="P38" s="2"/>
    </row>
    <row r="39" spans="2:16" ht="37.5" x14ac:dyDescent="0.4">
      <c r="B39" s="9">
        <v>33</v>
      </c>
      <c r="C39" s="96" t="s">
        <v>545</v>
      </c>
      <c r="D39" s="10"/>
      <c r="E39" s="10" t="s">
        <v>688</v>
      </c>
      <c r="F39" s="103" t="s">
        <v>628</v>
      </c>
      <c r="G39" s="103" t="s">
        <v>674</v>
      </c>
      <c r="H39" s="103" t="s">
        <v>630</v>
      </c>
      <c r="I39" s="60" t="s">
        <v>525</v>
      </c>
      <c r="J39" s="68">
        <v>46161</v>
      </c>
      <c r="K39" s="33"/>
      <c r="L39" s="10"/>
      <c r="M39" s="1"/>
      <c r="N39" s="2"/>
      <c r="O39" s="2"/>
      <c r="P39" s="2"/>
    </row>
    <row r="40" spans="2:16" x14ac:dyDescent="0.4">
      <c r="B40" s="9">
        <v>34</v>
      </c>
      <c r="C40" s="96" t="s">
        <v>545</v>
      </c>
      <c r="D40" s="10"/>
      <c r="E40" s="10"/>
      <c r="F40" s="103"/>
      <c r="G40" s="103" t="s">
        <v>619</v>
      </c>
      <c r="H40" s="104" t="s">
        <v>631</v>
      </c>
      <c r="I40" s="60" t="s">
        <v>525</v>
      </c>
      <c r="J40" s="68">
        <v>46161</v>
      </c>
      <c r="K40" s="33"/>
      <c r="L40" s="10"/>
      <c r="M40" s="1"/>
      <c r="N40" s="2"/>
      <c r="O40" s="2"/>
      <c r="P40" s="2"/>
    </row>
    <row r="41" spans="2:16" x14ac:dyDescent="0.4">
      <c r="B41" s="9">
        <v>35</v>
      </c>
      <c r="C41" s="96" t="s">
        <v>545</v>
      </c>
      <c r="D41" s="10"/>
      <c r="E41" s="10"/>
      <c r="F41" s="103"/>
      <c r="G41" s="103" t="s">
        <v>621</v>
      </c>
      <c r="H41" s="104" t="s">
        <v>675</v>
      </c>
      <c r="I41" s="60" t="s">
        <v>783</v>
      </c>
      <c r="J41" s="68">
        <v>46161</v>
      </c>
      <c r="K41" s="33"/>
      <c r="L41" s="10"/>
      <c r="M41" s="1"/>
      <c r="N41" s="2"/>
      <c r="O41" s="2"/>
      <c r="P41" s="2"/>
    </row>
    <row r="42" spans="2:16" ht="56.25" x14ac:dyDescent="0.4">
      <c r="B42" s="9">
        <v>36</v>
      </c>
      <c r="C42" s="96" t="s">
        <v>545</v>
      </c>
      <c r="D42" s="10"/>
      <c r="E42" s="10"/>
      <c r="F42" s="10"/>
      <c r="G42" s="10" t="s">
        <v>672</v>
      </c>
      <c r="H42" s="10" t="s">
        <v>629</v>
      </c>
      <c r="I42" s="60" t="s">
        <v>525</v>
      </c>
      <c r="J42" s="68">
        <v>46161</v>
      </c>
      <c r="K42" s="33"/>
      <c r="L42" s="10"/>
      <c r="M42" s="1"/>
      <c r="N42" s="2"/>
      <c r="O42" s="2"/>
      <c r="P42" s="2"/>
    </row>
    <row r="43" spans="2:16" x14ac:dyDescent="0.4">
      <c r="B43" s="9">
        <v>37</v>
      </c>
      <c r="C43" s="96" t="s">
        <v>545</v>
      </c>
      <c r="D43" s="10"/>
      <c r="E43" s="10" t="s">
        <v>633</v>
      </c>
      <c r="F43" s="18" t="s">
        <v>626</v>
      </c>
      <c r="G43" s="17" t="s">
        <v>634</v>
      </c>
      <c r="H43" s="10" t="s">
        <v>635</v>
      </c>
      <c r="I43" s="60" t="s">
        <v>525</v>
      </c>
      <c r="J43" s="68">
        <v>46161</v>
      </c>
      <c r="K43" s="33"/>
      <c r="L43" s="10"/>
      <c r="M43" s="1"/>
      <c r="N43" s="2"/>
      <c r="O43" s="2"/>
      <c r="P43" s="2"/>
    </row>
    <row r="44" spans="2:16" x14ac:dyDescent="0.4">
      <c r="B44" s="9">
        <v>38</v>
      </c>
      <c r="C44" s="96" t="s">
        <v>545</v>
      </c>
      <c r="D44" s="10"/>
      <c r="E44" s="10" t="s">
        <v>648</v>
      </c>
      <c r="F44" s="18" t="s">
        <v>626</v>
      </c>
      <c r="G44" s="17" t="s">
        <v>650</v>
      </c>
      <c r="H44" s="10" t="s">
        <v>651</v>
      </c>
      <c r="I44" s="60" t="s">
        <v>525</v>
      </c>
      <c r="J44" s="68">
        <v>46161</v>
      </c>
      <c r="K44" s="33"/>
      <c r="L44" s="10"/>
      <c r="M44" s="1"/>
      <c r="N44" s="2"/>
      <c r="O44" s="2"/>
      <c r="P44" s="2"/>
    </row>
    <row r="45" spans="2:16" x14ac:dyDescent="0.4">
      <c r="B45" s="9">
        <v>39</v>
      </c>
      <c r="C45" s="96" t="s">
        <v>545</v>
      </c>
      <c r="D45" s="10"/>
      <c r="E45" s="10" t="s">
        <v>677</v>
      </c>
      <c r="F45" s="103" t="s">
        <v>628</v>
      </c>
      <c r="G45" s="103" t="s">
        <v>678</v>
      </c>
      <c r="H45" s="103" t="s">
        <v>679</v>
      </c>
      <c r="I45" s="60" t="s">
        <v>525</v>
      </c>
      <c r="J45" s="68">
        <v>46161</v>
      </c>
      <c r="K45" s="33"/>
      <c r="L45" s="10"/>
      <c r="M45" s="1" t="s">
        <v>780</v>
      </c>
      <c r="N45" s="2"/>
      <c r="O45" s="2"/>
      <c r="P45" s="2"/>
    </row>
    <row r="46" spans="2:16" x14ac:dyDescent="0.4">
      <c r="B46" s="9">
        <v>40</v>
      </c>
      <c r="C46" s="96" t="s">
        <v>545</v>
      </c>
      <c r="D46" s="10"/>
      <c r="E46" s="10"/>
      <c r="F46" s="108"/>
      <c r="G46" s="103" t="s">
        <v>680</v>
      </c>
      <c r="H46" s="103" t="s">
        <v>681</v>
      </c>
      <c r="I46" s="60" t="s">
        <v>525</v>
      </c>
      <c r="J46" s="68">
        <v>46161</v>
      </c>
      <c r="K46" s="33"/>
      <c r="L46" s="10"/>
      <c r="M46" s="1" t="s">
        <v>781</v>
      </c>
      <c r="N46" s="2"/>
      <c r="O46" s="2"/>
      <c r="P46" s="2"/>
    </row>
    <row r="47" spans="2:16" x14ac:dyDescent="0.4">
      <c r="B47" s="9">
        <v>41</v>
      </c>
      <c r="C47" s="96" t="s">
        <v>545</v>
      </c>
      <c r="D47" s="10"/>
      <c r="E47" s="10"/>
      <c r="F47" s="108"/>
      <c r="G47" s="103" t="s">
        <v>682</v>
      </c>
      <c r="H47" s="103" t="s">
        <v>629</v>
      </c>
      <c r="I47" s="60" t="s">
        <v>525</v>
      </c>
      <c r="J47" s="68">
        <v>46161</v>
      </c>
      <c r="K47" s="33"/>
      <c r="L47" s="10"/>
      <c r="M47" s="1"/>
      <c r="N47" s="2"/>
      <c r="O47" s="2"/>
      <c r="P47" s="2"/>
    </row>
    <row r="48" spans="2:16" x14ac:dyDescent="0.4">
      <c r="B48" s="9">
        <v>42</v>
      </c>
      <c r="C48" s="96" t="s">
        <v>545</v>
      </c>
      <c r="D48" s="10"/>
      <c r="E48" s="10" t="s">
        <v>369</v>
      </c>
      <c r="F48" s="10" t="s">
        <v>626</v>
      </c>
      <c r="G48" s="10" t="s">
        <v>370</v>
      </c>
      <c r="H48" s="10" t="s">
        <v>574</v>
      </c>
      <c r="I48" s="60" t="s">
        <v>525</v>
      </c>
      <c r="J48" s="68">
        <v>46162</v>
      </c>
      <c r="K48" s="33"/>
      <c r="L48" s="10"/>
      <c r="M48" s="1"/>
      <c r="N48" s="2"/>
      <c r="O48" s="2"/>
      <c r="P48" s="2"/>
    </row>
    <row r="49" spans="2:16" x14ac:dyDescent="0.4">
      <c r="B49" s="9">
        <v>43</v>
      </c>
      <c r="C49" s="96" t="s">
        <v>545</v>
      </c>
      <c r="D49" s="10" t="s">
        <v>652</v>
      </c>
      <c r="E49" s="10" t="s">
        <v>653</v>
      </c>
      <c r="F49" s="18" t="s">
        <v>656</v>
      </c>
      <c r="G49" s="17" t="s">
        <v>657</v>
      </c>
      <c r="H49" s="10" t="s">
        <v>660</v>
      </c>
      <c r="I49" s="60" t="s">
        <v>525</v>
      </c>
      <c r="J49" s="68">
        <v>46162</v>
      </c>
      <c r="K49" s="33"/>
      <c r="L49" s="10"/>
      <c r="M49" s="1"/>
      <c r="N49" s="2"/>
      <c r="O49" s="2"/>
      <c r="P49" s="2"/>
    </row>
    <row r="50" spans="2:16" x14ac:dyDescent="0.4">
      <c r="B50" s="9">
        <v>44</v>
      </c>
      <c r="C50" s="96" t="s">
        <v>545</v>
      </c>
      <c r="D50" s="10"/>
      <c r="E50" s="10" t="s">
        <v>654</v>
      </c>
      <c r="F50" s="18" t="s">
        <v>656</v>
      </c>
      <c r="G50" s="17" t="s">
        <v>658</v>
      </c>
      <c r="H50" s="10" t="s">
        <v>661</v>
      </c>
      <c r="I50" s="60" t="s">
        <v>525</v>
      </c>
      <c r="J50" s="68">
        <v>46162</v>
      </c>
      <c r="K50" s="33"/>
      <c r="L50" s="10"/>
      <c r="M50" s="1"/>
      <c r="N50" s="2"/>
      <c r="O50" s="2"/>
      <c r="P50" s="2"/>
    </row>
    <row r="51" spans="2:16" x14ac:dyDescent="0.4">
      <c r="B51" s="9">
        <v>45</v>
      </c>
      <c r="C51" s="96" t="s">
        <v>545</v>
      </c>
      <c r="D51" s="10"/>
      <c r="E51" s="10" t="s">
        <v>655</v>
      </c>
      <c r="F51" s="18" t="s">
        <v>656</v>
      </c>
      <c r="G51" s="17" t="s">
        <v>659</v>
      </c>
      <c r="H51" s="10" t="s">
        <v>662</v>
      </c>
      <c r="I51" s="60" t="s">
        <v>525</v>
      </c>
      <c r="J51" s="68">
        <v>46162</v>
      </c>
      <c r="K51" s="33"/>
      <c r="L51" s="10"/>
      <c r="M51" s="1"/>
      <c r="N51" s="2"/>
      <c r="O51" s="2"/>
      <c r="P51" s="2"/>
    </row>
    <row r="52" spans="2:16" x14ac:dyDescent="0.4">
      <c r="B52" s="9">
        <v>46</v>
      </c>
      <c r="C52" s="96" t="s">
        <v>545</v>
      </c>
      <c r="D52" s="10"/>
      <c r="E52" s="10" t="s">
        <v>636</v>
      </c>
      <c r="F52" s="10" t="s">
        <v>626</v>
      </c>
      <c r="G52" s="10" t="s">
        <v>637</v>
      </c>
      <c r="H52" s="10" t="s">
        <v>638</v>
      </c>
      <c r="I52" s="60" t="s">
        <v>525</v>
      </c>
      <c r="J52" s="68">
        <v>46162</v>
      </c>
      <c r="K52" s="33"/>
      <c r="L52" s="10"/>
      <c r="M52" s="1"/>
      <c r="N52" s="2"/>
      <c r="O52" s="2"/>
      <c r="P52" s="2"/>
    </row>
    <row r="53" spans="2:16" x14ac:dyDescent="0.4">
      <c r="B53" s="9">
        <v>47</v>
      </c>
      <c r="C53" s="96" t="s">
        <v>545</v>
      </c>
      <c r="D53" s="10" t="s">
        <v>649</v>
      </c>
      <c r="E53" s="10" t="s">
        <v>687</v>
      </c>
      <c r="F53" s="99" t="s">
        <v>640</v>
      </c>
      <c r="G53" s="99" t="s">
        <v>599</v>
      </c>
      <c r="H53" s="101" t="s">
        <v>641</v>
      </c>
      <c r="I53" s="60" t="s">
        <v>525</v>
      </c>
      <c r="J53" s="68">
        <v>46162</v>
      </c>
      <c r="K53" s="33"/>
      <c r="L53" s="10"/>
      <c r="M53" s="1"/>
      <c r="N53" s="2"/>
      <c r="O53" s="2"/>
      <c r="P53" s="2"/>
    </row>
    <row r="54" spans="2:16" ht="56.25" x14ac:dyDescent="0.4">
      <c r="B54" s="9">
        <v>48</v>
      </c>
      <c r="C54" s="96" t="s">
        <v>545</v>
      </c>
      <c r="D54" s="10"/>
      <c r="E54" s="18"/>
      <c r="F54" s="99"/>
      <c r="G54" s="99" t="s">
        <v>598</v>
      </c>
      <c r="H54" s="101" t="s">
        <v>600</v>
      </c>
      <c r="I54" s="60" t="s">
        <v>525</v>
      </c>
      <c r="J54" s="68">
        <v>46162</v>
      </c>
      <c r="K54" s="33"/>
      <c r="L54" s="10"/>
      <c r="M54" s="1"/>
      <c r="N54" s="2"/>
      <c r="O54" s="2"/>
      <c r="P54" s="2"/>
    </row>
    <row r="55" spans="2:16" x14ac:dyDescent="0.4">
      <c r="B55" s="9">
        <v>49</v>
      </c>
      <c r="C55" s="96" t="s">
        <v>545</v>
      </c>
      <c r="D55" s="10"/>
      <c r="E55" s="18"/>
      <c r="F55" s="107" t="s">
        <v>642</v>
      </c>
      <c r="G55" s="107" t="s">
        <v>645</v>
      </c>
      <c r="H55" s="101" t="s">
        <v>646</v>
      </c>
      <c r="I55" s="60" t="s">
        <v>525</v>
      </c>
      <c r="J55" s="68">
        <v>46162</v>
      </c>
      <c r="K55" s="33"/>
      <c r="L55" s="10"/>
      <c r="M55" s="1"/>
      <c r="N55" s="2"/>
      <c r="O55" s="2"/>
      <c r="P55" s="2"/>
    </row>
    <row r="56" spans="2:16" x14ac:dyDescent="0.4">
      <c r="B56" s="9">
        <v>50</v>
      </c>
      <c r="C56" s="96" t="s">
        <v>545</v>
      </c>
      <c r="D56" s="10"/>
      <c r="E56" s="18"/>
      <c r="F56" s="107"/>
      <c r="G56" s="107" t="s">
        <v>643</v>
      </c>
      <c r="H56" s="101" t="s">
        <v>644</v>
      </c>
      <c r="I56" s="64" t="s">
        <v>525</v>
      </c>
      <c r="J56" s="69">
        <v>46162</v>
      </c>
      <c r="K56" s="40"/>
      <c r="L56" s="10"/>
      <c r="M56" s="1"/>
      <c r="N56" s="2"/>
      <c r="O56" s="2"/>
      <c r="P56" s="2"/>
    </row>
    <row r="57" spans="2:16" x14ac:dyDescent="0.4">
      <c r="B57" s="9">
        <v>51</v>
      </c>
      <c r="C57" s="96" t="s">
        <v>545</v>
      </c>
      <c r="D57" s="18"/>
      <c r="E57" s="18"/>
      <c r="F57" s="99" t="s">
        <v>667</v>
      </c>
      <c r="G57" s="99" t="s">
        <v>666</v>
      </c>
      <c r="H57" s="101" t="s">
        <v>591</v>
      </c>
      <c r="I57" s="64" t="s">
        <v>525</v>
      </c>
      <c r="J57" s="69">
        <v>46162</v>
      </c>
      <c r="K57" s="40"/>
      <c r="L57" s="10"/>
      <c r="M57" s="1"/>
      <c r="N57" s="2"/>
      <c r="O57" s="2"/>
      <c r="P57" s="2"/>
    </row>
    <row r="58" spans="2:16" x14ac:dyDescent="0.4">
      <c r="B58" s="9">
        <v>52</v>
      </c>
      <c r="C58" s="96" t="s">
        <v>545</v>
      </c>
      <c r="D58" s="18"/>
      <c r="E58" s="18"/>
      <c r="F58" s="94"/>
      <c r="G58" s="94" t="s">
        <v>607</v>
      </c>
      <c r="H58" s="102" t="s">
        <v>647</v>
      </c>
      <c r="I58" s="64" t="s">
        <v>525</v>
      </c>
      <c r="J58" s="69">
        <v>46162</v>
      </c>
      <c r="K58" s="40"/>
      <c r="L58" s="10"/>
      <c r="M58" s="1"/>
      <c r="N58" s="2"/>
      <c r="O58" s="2"/>
      <c r="P58" s="2"/>
    </row>
    <row r="59" spans="2:16" ht="56.25" x14ac:dyDescent="0.4">
      <c r="B59" s="9">
        <v>53</v>
      </c>
      <c r="C59" s="96" t="s">
        <v>545</v>
      </c>
      <c r="D59" s="18"/>
      <c r="E59" s="18"/>
      <c r="F59" s="94"/>
      <c r="G59" s="94" t="s">
        <v>668</v>
      </c>
      <c r="H59" s="102" t="s">
        <v>669</v>
      </c>
      <c r="I59" s="64" t="s">
        <v>525</v>
      </c>
      <c r="J59" s="69">
        <v>46162</v>
      </c>
      <c r="K59" s="40" t="s">
        <v>784</v>
      </c>
      <c r="L59" s="10" t="s">
        <v>794</v>
      </c>
      <c r="M59" s="1"/>
      <c r="N59" s="2"/>
      <c r="O59" s="2"/>
      <c r="P59" s="2"/>
    </row>
    <row r="60" spans="2:16" x14ac:dyDescent="0.4">
      <c r="B60" s="9">
        <v>54</v>
      </c>
      <c r="C60" s="96" t="s">
        <v>545</v>
      </c>
      <c r="D60" s="18"/>
      <c r="E60" s="18"/>
      <c r="F60" s="99" t="s">
        <v>684</v>
      </c>
      <c r="G60" s="99" t="s">
        <v>683</v>
      </c>
      <c r="H60" s="100" t="s">
        <v>570</v>
      </c>
      <c r="I60" s="64" t="s">
        <v>525</v>
      </c>
      <c r="J60" s="69">
        <v>46162</v>
      </c>
      <c r="K60" s="40"/>
      <c r="L60" s="10"/>
      <c r="M60" s="1"/>
      <c r="N60" s="2"/>
      <c r="O60" s="2"/>
      <c r="P60" s="2"/>
    </row>
    <row r="61" spans="2:16" ht="56.25" x14ac:dyDescent="0.4">
      <c r="B61" s="9">
        <v>55</v>
      </c>
      <c r="C61" s="96" t="s">
        <v>545</v>
      </c>
      <c r="D61" s="18"/>
      <c r="E61" s="10" t="s">
        <v>627</v>
      </c>
      <c r="F61" s="10" t="s">
        <v>628</v>
      </c>
      <c r="G61" s="10" t="s">
        <v>632</v>
      </c>
      <c r="H61" s="10" t="s">
        <v>629</v>
      </c>
      <c r="I61" s="64" t="s">
        <v>525</v>
      </c>
      <c r="J61" s="69">
        <v>46162</v>
      </c>
      <c r="K61" s="40"/>
      <c r="L61" s="10"/>
      <c r="M61" s="1"/>
      <c r="N61" s="2"/>
      <c r="O61" s="2"/>
      <c r="P61" s="2"/>
    </row>
    <row r="62" spans="2:16" x14ac:dyDescent="0.4">
      <c r="B62" s="9">
        <v>56</v>
      </c>
      <c r="C62" s="96" t="s">
        <v>545</v>
      </c>
      <c r="D62" s="18"/>
      <c r="E62" s="10" t="s">
        <v>636</v>
      </c>
      <c r="F62" s="10"/>
      <c r="G62" s="10" t="s">
        <v>637</v>
      </c>
      <c r="H62" s="10" t="s">
        <v>638</v>
      </c>
      <c r="I62" s="64" t="s">
        <v>525</v>
      </c>
      <c r="J62" s="69">
        <v>46162</v>
      </c>
      <c r="K62" s="40"/>
      <c r="L62" s="10"/>
      <c r="M62" s="1"/>
      <c r="N62" s="2"/>
      <c r="O62" s="2"/>
      <c r="P62" s="2"/>
    </row>
    <row r="63" spans="2:16" x14ac:dyDescent="0.4">
      <c r="B63" s="9">
        <v>57</v>
      </c>
      <c r="C63" s="96" t="s">
        <v>545</v>
      </c>
      <c r="D63" s="18"/>
      <c r="E63" s="10" t="s">
        <v>369</v>
      </c>
      <c r="F63" s="10"/>
      <c r="G63" s="10" t="s">
        <v>370</v>
      </c>
      <c r="H63" s="10" t="s">
        <v>574</v>
      </c>
      <c r="I63" s="64" t="s">
        <v>525</v>
      </c>
      <c r="J63" s="69">
        <v>46162</v>
      </c>
      <c r="K63" s="40"/>
      <c r="L63" s="10"/>
      <c r="M63" s="1"/>
      <c r="N63" s="2"/>
      <c r="O63" s="2"/>
      <c r="P63" s="2"/>
    </row>
    <row r="64" spans="2:16" x14ac:dyDescent="0.4">
      <c r="B64" s="9">
        <v>58</v>
      </c>
      <c r="C64" s="96" t="s">
        <v>787</v>
      </c>
      <c r="D64" s="10" t="s">
        <v>795</v>
      </c>
      <c r="E64" s="18"/>
      <c r="F64" s="18"/>
      <c r="G64" s="18"/>
      <c r="H64" s="40" t="s">
        <v>796</v>
      </c>
      <c r="I64" s="64" t="s">
        <v>525</v>
      </c>
      <c r="J64" s="69">
        <v>46164</v>
      </c>
      <c r="K64" s="33"/>
      <c r="L64" s="10" t="s">
        <v>821</v>
      </c>
      <c r="M64" s="1"/>
      <c r="N64" s="2"/>
      <c r="O64" s="2"/>
      <c r="P64" s="2"/>
    </row>
    <row r="65" spans="2:16" ht="56.25" x14ac:dyDescent="0.4">
      <c r="B65" s="9">
        <v>59</v>
      </c>
      <c r="C65" s="96" t="s">
        <v>787</v>
      </c>
      <c r="D65" s="10"/>
      <c r="E65" s="18"/>
      <c r="F65" s="18"/>
      <c r="G65" s="18"/>
      <c r="H65" s="40" t="s">
        <v>815</v>
      </c>
      <c r="I65" s="64" t="s">
        <v>526</v>
      </c>
      <c r="J65" s="69">
        <v>46165</v>
      </c>
      <c r="K65" s="33" t="s">
        <v>822</v>
      </c>
      <c r="L65" s="10"/>
      <c r="M65" s="1"/>
      <c r="N65" s="2"/>
      <c r="O65" s="2"/>
      <c r="P65" s="2"/>
    </row>
    <row r="66" spans="2:16" ht="56.25" x14ac:dyDescent="0.4">
      <c r="B66" s="9">
        <v>60</v>
      </c>
      <c r="C66" s="96" t="s">
        <v>787</v>
      </c>
      <c r="D66" s="10"/>
      <c r="E66" s="18"/>
      <c r="F66" s="18"/>
      <c r="G66" s="18"/>
      <c r="H66" s="40" t="s">
        <v>819</v>
      </c>
      <c r="I66" s="64" t="s">
        <v>526</v>
      </c>
      <c r="J66" s="69">
        <v>46165</v>
      </c>
      <c r="K66" s="33" t="s">
        <v>820</v>
      </c>
      <c r="L66" s="10"/>
      <c r="M66" s="1"/>
      <c r="N66" s="2"/>
      <c r="O66" s="2"/>
      <c r="P66" s="2"/>
    </row>
    <row r="67" spans="2:16" ht="112.5" x14ac:dyDescent="0.4">
      <c r="B67" s="9">
        <v>61</v>
      </c>
      <c r="C67" s="96" t="s">
        <v>787</v>
      </c>
      <c r="D67" s="10"/>
      <c r="E67" s="18"/>
      <c r="F67" s="18"/>
      <c r="G67" s="18"/>
      <c r="H67" s="40" t="s">
        <v>839</v>
      </c>
      <c r="I67" s="64" t="s">
        <v>526</v>
      </c>
      <c r="J67" s="69">
        <v>46167</v>
      </c>
      <c r="K67" s="33" t="s">
        <v>840</v>
      </c>
      <c r="L67" s="10"/>
      <c r="M67" s="1"/>
      <c r="N67" s="2"/>
      <c r="O67" s="2"/>
      <c r="P67" s="2"/>
    </row>
    <row r="68" spans="2:16" x14ac:dyDescent="0.4">
      <c r="B68" s="9">
        <v>62</v>
      </c>
      <c r="C68" s="96"/>
      <c r="D68" s="10"/>
      <c r="E68" s="18"/>
      <c r="F68" s="18"/>
      <c r="G68" s="18"/>
      <c r="H68" s="40"/>
      <c r="I68" s="64"/>
      <c r="J68" s="69"/>
      <c r="K68" s="33"/>
      <c r="L68" s="10"/>
      <c r="M68" s="1"/>
      <c r="N68" s="2"/>
      <c r="O68" s="2"/>
      <c r="P68" s="2"/>
    </row>
    <row r="69" spans="2:16" x14ac:dyDescent="0.4">
      <c r="B69" s="9">
        <v>63</v>
      </c>
      <c r="C69" s="96"/>
      <c r="D69" s="10"/>
      <c r="E69" s="18"/>
      <c r="F69" s="18"/>
      <c r="G69" s="18"/>
      <c r="H69" s="40"/>
      <c r="I69" s="64"/>
      <c r="J69" s="69"/>
      <c r="K69" s="33"/>
      <c r="L69" s="10"/>
      <c r="M69" s="1"/>
      <c r="N69" s="2"/>
      <c r="O69" s="2"/>
      <c r="P69" s="2"/>
    </row>
    <row r="70" spans="2:16" x14ac:dyDescent="0.4">
      <c r="B70" s="9">
        <v>64</v>
      </c>
      <c r="C70" s="96"/>
      <c r="D70" s="10"/>
      <c r="E70" s="18"/>
      <c r="F70" s="18"/>
      <c r="G70" s="18"/>
      <c r="H70" s="40"/>
      <c r="I70" s="64"/>
      <c r="J70" s="69"/>
      <c r="K70" s="33"/>
      <c r="L70" s="10"/>
      <c r="M70" s="1"/>
      <c r="N70" s="2"/>
      <c r="O70" s="2"/>
      <c r="P70" s="2"/>
    </row>
    <row r="71" spans="2:16" x14ac:dyDescent="0.4">
      <c r="B71" s="9">
        <v>65</v>
      </c>
      <c r="C71" s="96"/>
      <c r="D71" s="10"/>
      <c r="E71" s="18"/>
      <c r="F71" s="18"/>
      <c r="G71" s="18"/>
      <c r="H71" s="40"/>
      <c r="I71" s="64"/>
      <c r="J71" s="69"/>
      <c r="K71" s="33"/>
      <c r="L71" s="10"/>
      <c r="M71" s="1"/>
      <c r="N71" s="2"/>
      <c r="O71" s="2"/>
      <c r="P71" s="2"/>
    </row>
    <row r="72" spans="2:16" x14ac:dyDescent="0.4">
      <c r="B72" s="9">
        <v>66</v>
      </c>
      <c r="C72" s="96"/>
      <c r="D72" s="10"/>
      <c r="E72" s="18"/>
      <c r="F72" s="18"/>
      <c r="G72" s="18"/>
      <c r="H72" s="40"/>
      <c r="I72" s="64"/>
      <c r="J72" s="69"/>
      <c r="K72" s="33"/>
      <c r="L72" s="10"/>
      <c r="M72" s="1"/>
      <c r="N72" s="2"/>
      <c r="O72" s="2"/>
      <c r="P72" s="2"/>
    </row>
    <row r="73" spans="2:16" x14ac:dyDescent="0.4">
      <c r="B73" s="9">
        <v>67</v>
      </c>
      <c r="C73" s="96"/>
      <c r="D73" s="10"/>
      <c r="E73" s="18"/>
      <c r="F73" s="18"/>
      <c r="G73" s="18"/>
      <c r="H73" s="40"/>
      <c r="I73" s="64"/>
      <c r="J73" s="69"/>
      <c r="K73" s="33"/>
      <c r="L73" s="10"/>
      <c r="M73" s="1"/>
      <c r="N73" s="2"/>
      <c r="O73" s="2"/>
      <c r="P73" s="2"/>
    </row>
    <row r="74" spans="2:16" x14ac:dyDescent="0.4">
      <c r="B74" s="9">
        <v>68</v>
      </c>
      <c r="C74" s="96"/>
      <c r="D74" s="10"/>
      <c r="E74" s="18"/>
      <c r="F74" s="18"/>
      <c r="G74" s="18"/>
      <c r="H74" s="40"/>
      <c r="I74" s="64"/>
      <c r="J74" s="69"/>
      <c r="K74" s="33"/>
      <c r="L74" s="10"/>
      <c r="M74" s="1"/>
      <c r="N74" s="2"/>
      <c r="O74" s="2"/>
      <c r="P74" s="2"/>
    </row>
    <row r="75" spans="2:16" x14ac:dyDescent="0.4">
      <c r="B75" s="9">
        <v>69</v>
      </c>
      <c r="C75" s="96"/>
      <c r="D75" s="10"/>
      <c r="E75" s="18"/>
      <c r="F75" s="18"/>
      <c r="G75" s="18"/>
      <c r="H75" s="40"/>
      <c r="I75" s="64"/>
      <c r="J75" s="69"/>
      <c r="K75" s="33"/>
      <c r="L75" s="10"/>
      <c r="M75" s="1"/>
      <c r="N75" s="2"/>
      <c r="O75" s="2"/>
      <c r="P75" s="2"/>
    </row>
    <row r="76" spans="2:16" x14ac:dyDescent="0.4">
      <c r="B76" s="9">
        <v>70</v>
      </c>
      <c r="C76" s="96"/>
      <c r="D76" s="10"/>
      <c r="E76" s="18"/>
      <c r="F76" s="18"/>
      <c r="G76" s="18"/>
      <c r="H76" s="40"/>
      <c r="I76" s="64"/>
      <c r="J76" s="69"/>
      <c r="K76" s="33"/>
      <c r="L76" s="10"/>
      <c r="M76" s="1"/>
      <c r="N76" s="2"/>
      <c r="O76" s="2"/>
      <c r="P76" s="2"/>
    </row>
    <row r="77" spans="2:16" x14ac:dyDescent="0.4">
      <c r="B77" s="9">
        <v>71</v>
      </c>
      <c r="C77" s="96"/>
      <c r="D77" s="10"/>
      <c r="E77" s="18"/>
      <c r="F77" s="18"/>
      <c r="G77" s="18"/>
      <c r="H77" s="40"/>
      <c r="I77" s="64"/>
      <c r="J77" s="69"/>
      <c r="K77" s="33"/>
      <c r="L77" s="10"/>
      <c r="M77" s="1"/>
      <c r="N77" s="2"/>
      <c r="O77" s="2"/>
      <c r="P77" s="2"/>
    </row>
    <row r="78" spans="2:16" x14ac:dyDescent="0.4">
      <c r="B78" s="9">
        <v>72</v>
      </c>
      <c r="C78" s="96"/>
      <c r="D78" s="10"/>
      <c r="E78" s="18"/>
      <c r="F78" s="18"/>
      <c r="G78" s="18"/>
      <c r="H78" s="40"/>
      <c r="I78" s="64"/>
      <c r="J78" s="69"/>
      <c r="K78" s="33"/>
      <c r="L78" s="10"/>
      <c r="M78" s="1"/>
      <c r="N78" s="2"/>
      <c r="O78" s="2"/>
      <c r="P78" s="2"/>
    </row>
    <row r="79" spans="2:16" x14ac:dyDescent="0.4">
      <c r="B79" s="9">
        <v>73</v>
      </c>
      <c r="C79" s="96"/>
      <c r="D79" s="10"/>
      <c r="E79" s="18"/>
      <c r="F79" s="18"/>
      <c r="G79" s="18"/>
      <c r="H79" s="40"/>
      <c r="I79" s="64"/>
      <c r="J79" s="69"/>
      <c r="K79" s="33"/>
      <c r="L79" s="10"/>
      <c r="M79" s="1"/>
      <c r="N79" s="2"/>
      <c r="O79" s="2"/>
      <c r="P79" s="2"/>
    </row>
    <row r="80" spans="2:16" x14ac:dyDescent="0.4">
      <c r="B80" s="9">
        <v>74</v>
      </c>
      <c r="C80" s="96"/>
      <c r="D80" s="10"/>
      <c r="E80" s="18"/>
      <c r="F80" s="18"/>
      <c r="G80" s="18"/>
      <c r="H80" s="40"/>
      <c r="I80" s="64"/>
      <c r="J80" s="69"/>
      <c r="K80" s="33"/>
      <c r="L80" s="10"/>
      <c r="M80" s="1"/>
      <c r="N80" s="2"/>
      <c r="O80" s="2"/>
      <c r="P80" s="2"/>
    </row>
    <row r="81" spans="2:16" x14ac:dyDescent="0.4">
      <c r="B81" s="9">
        <v>75</v>
      </c>
      <c r="C81" s="96"/>
      <c r="D81" s="10"/>
      <c r="E81" s="18"/>
      <c r="F81" s="18"/>
      <c r="G81" s="18"/>
      <c r="H81" s="40"/>
      <c r="I81" s="64"/>
      <c r="J81" s="69"/>
      <c r="K81" s="33"/>
      <c r="L81" s="10"/>
      <c r="M81" s="1"/>
      <c r="N81" s="2"/>
      <c r="O81" s="2"/>
      <c r="P81" s="2"/>
    </row>
    <row r="82" spans="2:16" x14ac:dyDescent="0.4">
      <c r="B82" s="9">
        <v>76</v>
      </c>
      <c r="C82" s="96"/>
      <c r="D82" s="10"/>
      <c r="E82" s="18"/>
      <c r="F82" s="18"/>
      <c r="G82" s="18"/>
      <c r="H82" s="40"/>
      <c r="I82" s="64"/>
      <c r="J82" s="69"/>
      <c r="K82" s="33"/>
      <c r="L82" s="10"/>
      <c r="M82" s="1"/>
      <c r="N82" s="2"/>
      <c r="O82" s="2"/>
      <c r="P82" s="2"/>
    </row>
    <row r="83" spans="2:16" x14ac:dyDescent="0.4">
      <c r="B83" s="9">
        <v>77</v>
      </c>
      <c r="C83" s="96"/>
      <c r="D83" s="10"/>
      <c r="E83" s="18"/>
      <c r="F83" s="18"/>
      <c r="G83" s="18"/>
      <c r="H83" s="40"/>
      <c r="I83" s="64"/>
      <c r="J83" s="69"/>
      <c r="K83" s="33"/>
      <c r="L83" s="10"/>
      <c r="M83" s="1"/>
      <c r="N83" s="2"/>
      <c r="O83" s="2"/>
      <c r="P83" s="2"/>
    </row>
    <row r="84" spans="2:16" x14ac:dyDescent="0.4">
      <c r="B84" s="9">
        <v>78</v>
      </c>
      <c r="C84" s="96"/>
      <c r="D84" s="10"/>
      <c r="E84" s="18"/>
      <c r="F84" s="18"/>
      <c r="G84" s="18"/>
      <c r="H84" s="40"/>
      <c r="I84" s="64"/>
      <c r="J84" s="69"/>
      <c r="K84" s="33"/>
      <c r="L84" s="10"/>
      <c r="M84" s="1"/>
      <c r="N84" s="2"/>
      <c r="O84" s="2"/>
      <c r="P84" s="2"/>
    </row>
    <row r="85" spans="2:16" x14ac:dyDescent="0.4">
      <c r="B85" s="9">
        <v>79</v>
      </c>
      <c r="C85" s="96"/>
      <c r="D85" s="10"/>
      <c r="E85" s="18"/>
      <c r="F85" s="18"/>
      <c r="G85" s="18"/>
      <c r="H85" s="40"/>
      <c r="I85" s="64"/>
      <c r="J85" s="69"/>
      <c r="K85" s="33"/>
      <c r="L85" s="10"/>
      <c r="M85" s="1"/>
      <c r="N85" s="2"/>
      <c r="O85" s="2"/>
      <c r="P85" s="2"/>
    </row>
    <row r="86" spans="2:16" x14ac:dyDescent="0.4">
      <c r="B86" s="9">
        <v>80</v>
      </c>
      <c r="C86" s="50"/>
      <c r="D86" s="10"/>
      <c r="E86" s="10"/>
      <c r="F86" s="10"/>
      <c r="G86" s="10"/>
      <c r="H86" s="10"/>
      <c r="I86" s="60"/>
      <c r="J86" s="54"/>
      <c r="K86" s="33"/>
      <c r="L86" s="10"/>
      <c r="M86" s="1"/>
      <c r="N86" s="2"/>
      <c r="O86" s="2"/>
      <c r="P86" s="2"/>
    </row>
  </sheetData>
  <mergeCells count="1">
    <mergeCell ref="D5:E5"/>
  </mergeCells>
  <phoneticPr fontId="2"/>
  <conditionalFormatting sqref="B1:B1048576 I1:I1048576">
    <cfRule type="expression" dxfId="13" priority="28">
      <formula>$I1="△"</formula>
    </cfRule>
    <cfRule type="expression" dxfId="12" priority="29">
      <formula>$I1="×"</formula>
    </cfRule>
  </conditionalFormatting>
  <conditionalFormatting sqref="C1:C1048576">
    <cfRule type="cellIs" dxfId="11" priority="3" operator="equal">
      <formula>"長沢"</formula>
    </cfRule>
    <cfRule type="cellIs" dxfId="10" priority="4" operator="equal">
      <formula>"斉藤"</formula>
    </cfRule>
    <cfRule type="cellIs" dxfId="9" priority="5" operator="equal">
      <formula>"光沢"</formula>
    </cfRule>
  </conditionalFormatting>
  <dataValidations count="2">
    <dataValidation type="list" allowBlank="1" showInputMessage="1" showErrorMessage="1" sqref="C1 C4:C1048576" xr:uid="{6B728D5C-57CA-40E3-BE41-0E06291BC906}">
      <formula1>"光沢,斉藤,長沢"</formula1>
    </dataValidation>
    <dataValidation type="list" allowBlank="1" showInputMessage="1" showErrorMessage="1" sqref="I7:I86" xr:uid="{4C6D9BC1-63E8-4CC0-8A10-4939296E656C}">
      <formula1>"〇,△,×"</formula1>
    </dataValidation>
  </dataValidations>
  <pageMargins left="0.70866141732283472" right="0.70866141732283472" top="0.74803149606299213" bottom="0.74803149606299213" header="0.31496062992125984" footer="0.31496062992125984"/>
  <pageSetup paperSize="9" scale="52" fitToHeight="0"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1608-5DA6-4B94-BC2B-4680E81416FB}">
  <sheetPr>
    <tabColor rgb="FFFFC000"/>
    <pageSetUpPr fitToPage="1"/>
  </sheetPr>
  <dimension ref="B1:P111"/>
  <sheetViews>
    <sheetView zoomScale="70" zoomScaleNormal="70" workbookViewId="0">
      <pane ySplit="6" topLeftCell="A7" activePane="bottomLeft" state="frozen"/>
      <selection activeCell="C4" sqref="C4"/>
      <selection pane="bottomLeft" activeCell="N109" sqref="N109"/>
    </sheetView>
  </sheetViews>
  <sheetFormatPr defaultColWidth="8.75" defaultRowHeight="18.75" x14ac:dyDescent="0.4"/>
  <cols>
    <col min="1" max="1" width="2.5" style="2" bestFit="1" customWidth="1"/>
    <col min="2" max="2" width="4.5" style="1" bestFit="1" customWidth="1"/>
    <col min="3" max="3" width="12.875" style="1" customWidth="1"/>
    <col min="4" max="5" width="19.25" style="1" bestFit="1" customWidth="1"/>
    <col min="6" max="6" width="23.5" style="1" bestFit="1" customWidth="1"/>
    <col min="7" max="7" width="8.625" style="1" bestFit="1" customWidth="1"/>
    <col min="8" max="11" width="38" style="1" customWidth="1"/>
    <col min="12" max="12" width="18.875" style="77" customWidth="1"/>
    <col min="13" max="13" width="18.875" style="1" customWidth="1"/>
    <col min="14" max="14" width="41.75" style="1" customWidth="1"/>
    <col min="15" max="15" width="38" style="1" customWidth="1"/>
    <col min="16" max="16" width="91.125" style="1" bestFit="1" customWidth="1"/>
    <col min="17" max="16384" width="8.75" style="2"/>
  </cols>
  <sheetData>
    <row r="1" spans="2:15" ht="15" customHeight="1" x14ac:dyDescent="0.4"/>
    <row r="2" spans="2:15" ht="22.15" customHeight="1" x14ac:dyDescent="0.4">
      <c r="C2" s="2"/>
      <c r="D2" s="2"/>
      <c r="E2" s="103" t="s">
        <v>550</v>
      </c>
      <c r="F2" s="93" t="s">
        <v>551</v>
      </c>
      <c r="G2" s="2"/>
      <c r="H2" s="94" t="s">
        <v>779</v>
      </c>
      <c r="I2" s="95" t="s">
        <v>552</v>
      </c>
      <c r="J2" s="2"/>
      <c r="K2" s="2"/>
    </row>
    <row r="3" spans="2:15" ht="34.9" customHeight="1" x14ac:dyDescent="0.4">
      <c r="C3" s="2"/>
      <c r="D3" s="2"/>
      <c r="E3" s="103">
        <f>COUNTA($K$7:$K$10003)</f>
        <v>102</v>
      </c>
      <c r="F3" s="93">
        <f>COUNTIFS($K$7:$K$10003,"&lt;&gt;",$L$7:$L$10003,"")</f>
        <v>0</v>
      </c>
      <c r="G3" s="2"/>
      <c r="H3" s="94" cm="1">
        <f t="array" ref="H3">SUM(COUNTIF($L$7:$L$10003,{"△","×"}))</f>
        <v>12</v>
      </c>
      <c r="I3" s="95">
        <f>COUNTIF($L$7:$L$10003, "〇")</f>
        <v>90</v>
      </c>
      <c r="J3" s="112"/>
      <c r="K3" s="112"/>
    </row>
    <row r="4" spans="2:15" ht="15" customHeight="1" thickBot="1" x14ac:dyDescent="0.45"/>
    <row r="5" spans="2:15" ht="37.5" x14ac:dyDescent="0.4">
      <c r="B5" s="3"/>
      <c r="C5" s="29"/>
      <c r="D5" s="134" t="s">
        <v>0</v>
      </c>
      <c r="E5" s="134"/>
      <c r="F5" s="134"/>
      <c r="G5" s="4"/>
      <c r="H5" s="4" t="s">
        <v>1</v>
      </c>
      <c r="I5" s="4" t="s">
        <v>2</v>
      </c>
      <c r="J5" s="4" t="s">
        <v>3</v>
      </c>
      <c r="K5" s="31"/>
      <c r="L5" s="62" t="s">
        <v>522</v>
      </c>
      <c r="M5" s="31" t="s">
        <v>524</v>
      </c>
      <c r="N5" s="31" t="s">
        <v>520</v>
      </c>
      <c r="O5" s="5" t="s">
        <v>789</v>
      </c>
    </row>
    <row r="6" spans="2:15" ht="19.5" thickBot="1" x14ac:dyDescent="0.45">
      <c r="B6" s="6" t="s">
        <v>4</v>
      </c>
      <c r="C6" s="30" t="s">
        <v>505</v>
      </c>
      <c r="D6" s="7" t="s">
        <v>5</v>
      </c>
      <c r="E6" s="7" t="s">
        <v>6</v>
      </c>
      <c r="F6" s="7" t="s">
        <v>7</v>
      </c>
      <c r="G6" s="7" t="s">
        <v>8</v>
      </c>
      <c r="H6" s="7" t="s">
        <v>9</v>
      </c>
      <c r="I6" s="7" t="s">
        <v>10</v>
      </c>
      <c r="J6" s="7" t="s">
        <v>11</v>
      </c>
      <c r="K6" s="32" t="s">
        <v>12</v>
      </c>
      <c r="L6" s="61" t="s">
        <v>523</v>
      </c>
      <c r="M6" s="57" t="s">
        <v>564</v>
      </c>
      <c r="N6" s="32"/>
      <c r="O6" s="8" t="s">
        <v>793</v>
      </c>
    </row>
    <row r="7" spans="2:15" x14ac:dyDescent="0.4">
      <c r="B7" s="13">
        <v>1</v>
      </c>
      <c r="C7" s="52" t="s">
        <v>545</v>
      </c>
      <c r="D7" s="26" t="s">
        <v>695</v>
      </c>
      <c r="E7" s="26" t="s">
        <v>85</v>
      </c>
      <c r="F7" s="26" t="s">
        <v>86</v>
      </c>
      <c r="G7" s="26" t="s">
        <v>16</v>
      </c>
      <c r="H7" s="26" t="s">
        <v>87</v>
      </c>
      <c r="I7" s="26"/>
      <c r="J7" s="28" t="s">
        <v>88</v>
      </c>
      <c r="K7" s="41" t="s">
        <v>89</v>
      </c>
      <c r="L7" s="79" t="s">
        <v>525</v>
      </c>
      <c r="M7" s="119">
        <v>46156</v>
      </c>
      <c r="N7" s="117"/>
      <c r="O7" s="26"/>
    </row>
    <row r="8" spans="2:15" x14ac:dyDescent="0.4">
      <c r="B8" s="13">
        <v>2</v>
      </c>
      <c r="C8" s="52" t="s">
        <v>545</v>
      </c>
      <c r="D8" s="10" t="s">
        <v>695</v>
      </c>
      <c r="E8" s="10" t="s">
        <v>85</v>
      </c>
      <c r="F8" s="10" t="s">
        <v>90</v>
      </c>
      <c r="G8" s="10" t="s">
        <v>16</v>
      </c>
      <c r="H8" s="10" t="s">
        <v>91</v>
      </c>
      <c r="I8" s="10" t="s">
        <v>92</v>
      </c>
      <c r="J8" s="15" t="s">
        <v>93</v>
      </c>
      <c r="K8" s="36" t="s">
        <v>94</v>
      </c>
      <c r="L8" s="80" t="s">
        <v>525</v>
      </c>
      <c r="M8" s="87">
        <v>46156</v>
      </c>
      <c r="N8" s="33"/>
      <c r="O8" s="10"/>
    </row>
    <row r="9" spans="2:15" x14ac:dyDescent="0.4">
      <c r="B9" s="13">
        <v>3</v>
      </c>
      <c r="C9" s="52" t="s">
        <v>545</v>
      </c>
      <c r="D9" s="10" t="s">
        <v>695</v>
      </c>
      <c r="E9" s="10" t="s">
        <v>85</v>
      </c>
      <c r="F9" s="10" t="s">
        <v>90</v>
      </c>
      <c r="G9" s="10" t="s">
        <v>16</v>
      </c>
      <c r="H9" s="10" t="s">
        <v>91</v>
      </c>
      <c r="I9" s="10" t="s">
        <v>92</v>
      </c>
      <c r="J9" s="17" t="s">
        <v>95</v>
      </c>
      <c r="K9" s="37" t="s">
        <v>94</v>
      </c>
      <c r="L9" s="59" t="s">
        <v>525</v>
      </c>
      <c r="M9" s="87">
        <v>46156</v>
      </c>
      <c r="N9" s="33"/>
      <c r="O9" s="10"/>
    </row>
    <row r="10" spans="2:15" x14ac:dyDescent="0.4">
      <c r="B10" s="13">
        <v>4</v>
      </c>
      <c r="C10" s="52" t="s">
        <v>545</v>
      </c>
      <c r="D10" s="10" t="s">
        <v>695</v>
      </c>
      <c r="E10" s="10" t="s">
        <v>85</v>
      </c>
      <c r="F10" s="10" t="s">
        <v>90</v>
      </c>
      <c r="G10" s="10" t="s">
        <v>16</v>
      </c>
      <c r="H10" s="10" t="s">
        <v>91</v>
      </c>
      <c r="I10" s="10" t="s">
        <v>96</v>
      </c>
      <c r="J10" s="17" t="s">
        <v>97</v>
      </c>
      <c r="K10" s="37" t="s">
        <v>98</v>
      </c>
      <c r="L10" s="59" t="s">
        <v>525</v>
      </c>
      <c r="M10" s="87">
        <v>46156</v>
      </c>
      <c r="N10" s="33"/>
      <c r="O10" s="10"/>
    </row>
    <row r="11" spans="2:15" x14ac:dyDescent="0.4">
      <c r="B11" s="13">
        <v>5</v>
      </c>
      <c r="C11" s="52" t="s">
        <v>545</v>
      </c>
      <c r="D11" s="10" t="s">
        <v>695</v>
      </c>
      <c r="E11" s="10" t="s">
        <v>85</v>
      </c>
      <c r="F11" s="10" t="s">
        <v>90</v>
      </c>
      <c r="G11" s="10" t="s">
        <v>16</v>
      </c>
      <c r="H11" s="10" t="s">
        <v>91</v>
      </c>
      <c r="I11" s="10" t="s">
        <v>96</v>
      </c>
      <c r="J11" s="15" t="s">
        <v>99</v>
      </c>
      <c r="K11" s="36" t="s">
        <v>98</v>
      </c>
      <c r="L11" s="80" t="s">
        <v>525</v>
      </c>
      <c r="M11" s="87">
        <v>46156</v>
      </c>
      <c r="N11" s="33"/>
      <c r="O11" s="10"/>
    </row>
    <row r="12" spans="2:15" x14ac:dyDescent="0.4">
      <c r="B12" s="13">
        <v>6</v>
      </c>
      <c r="C12" s="52" t="s">
        <v>545</v>
      </c>
      <c r="D12" s="10" t="s">
        <v>695</v>
      </c>
      <c r="E12" s="10" t="s">
        <v>85</v>
      </c>
      <c r="F12" s="10" t="s">
        <v>90</v>
      </c>
      <c r="G12" s="10" t="s">
        <v>16</v>
      </c>
      <c r="H12" s="10" t="s">
        <v>91</v>
      </c>
      <c r="I12" s="10" t="s">
        <v>100</v>
      </c>
      <c r="J12" s="15" t="s">
        <v>101</v>
      </c>
      <c r="K12" s="36" t="s">
        <v>102</v>
      </c>
      <c r="L12" s="80" t="s">
        <v>525</v>
      </c>
      <c r="M12" s="87">
        <v>46156</v>
      </c>
      <c r="N12" s="33"/>
      <c r="O12" s="10"/>
    </row>
    <row r="13" spans="2:15" x14ac:dyDescent="0.4">
      <c r="B13" s="13">
        <v>7</v>
      </c>
      <c r="C13" s="52" t="s">
        <v>545</v>
      </c>
      <c r="D13" s="10" t="s">
        <v>695</v>
      </c>
      <c r="E13" s="10" t="s">
        <v>85</v>
      </c>
      <c r="F13" s="10" t="s">
        <v>90</v>
      </c>
      <c r="G13" s="10" t="s">
        <v>16</v>
      </c>
      <c r="H13" s="10" t="s">
        <v>91</v>
      </c>
      <c r="I13" s="10" t="s">
        <v>100</v>
      </c>
      <c r="J13" s="15" t="s">
        <v>103</v>
      </c>
      <c r="K13" s="36" t="s">
        <v>102</v>
      </c>
      <c r="L13" s="80" t="s">
        <v>525</v>
      </c>
      <c r="M13" s="87">
        <v>46156</v>
      </c>
      <c r="N13" s="33"/>
      <c r="O13" s="10"/>
    </row>
    <row r="14" spans="2:15" x14ac:dyDescent="0.4">
      <c r="B14" s="13">
        <v>8</v>
      </c>
      <c r="C14" s="52" t="s">
        <v>545</v>
      </c>
      <c r="D14" s="10" t="s">
        <v>695</v>
      </c>
      <c r="E14" s="10" t="s">
        <v>85</v>
      </c>
      <c r="F14" s="10" t="s">
        <v>104</v>
      </c>
      <c r="G14" s="10" t="s">
        <v>16</v>
      </c>
      <c r="H14" s="10" t="s">
        <v>87</v>
      </c>
      <c r="I14" s="10"/>
      <c r="J14" s="17" t="s">
        <v>88</v>
      </c>
      <c r="K14" s="37" t="s">
        <v>105</v>
      </c>
      <c r="L14" s="59" t="s">
        <v>525</v>
      </c>
      <c r="M14" s="87">
        <v>46156</v>
      </c>
      <c r="N14" s="33"/>
      <c r="O14" s="10"/>
    </row>
    <row r="15" spans="2:15" x14ac:dyDescent="0.4">
      <c r="B15" s="13">
        <v>9</v>
      </c>
      <c r="C15" s="52" t="s">
        <v>545</v>
      </c>
      <c r="D15" s="10" t="s">
        <v>695</v>
      </c>
      <c r="E15" s="10" t="s">
        <v>85</v>
      </c>
      <c r="F15" s="10" t="s">
        <v>106</v>
      </c>
      <c r="G15" s="10" t="s">
        <v>16</v>
      </c>
      <c r="H15" s="10" t="s">
        <v>107</v>
      </c>
      <c r="I15" s="10"/>
      <c r="J15" s="17" t="s">
        <v>108</v>
      </c>
      <c r="K15" s="37" t="s">
        <v>109</v>
      </c>
      <c r="L15" s="59" t="s">
        <v>525</v>
      </c>
      <c r="M15" s="87">
        <v>46156</v>
      </c>
      <c r="N15" s="33"/>
      <c r="O15" s="10"/>
    </row>
    <row r="16" spans="2:15" x14ac:dyDescent="0.4">
      <c r="B16" s="13">
        <v>10</v>
      </c>
      <c r="C16" s="52" t="s">
        <v>545</v>
      </c>
      <c r="D16" s="10" t="s">
        <v>695</v>
      </c>
      <c r="E16" s="10" t="s">
        <v>85</v>
      </c>
      <c r="F16" s="10" t="s">
        <v>110</v>
      </c>
      <c r="G16" s="10" t="s">
        <v>16</v>
      </c>
      <c r="H16" s="10" t="s">
        <v>111</v>
      </c>
      <c r="I16" s="10"/>
      <c r="J16" s="17" t="s">
        <v>112</v>
      </c>
      <c r="K16" s="37" t="s">
        <v>113</v>
      </c>
      <c r="L16" s="59" t="s">
        <v>525</v>
      </c>
      <c r="M16" s="87">
        <v>46156</v>
      </c>
      <c r="N16" s="33"/>
      <c r="O16" s="10"/>
    </row>
    <row r="17" spans="2:15" ht="37.5" x14ac:dyDescent="0.4">
      <c r="B17" s="13">
        <v>11</v>
      </c>
      <c r="C17" s="92" t="s">
        <v>545</v>
      </c>
      <c r="D17" s="10" t="s">
        <v>695</v>
      </c>
      <c r="E17" s="10" t="s">
        <v>85</v>
      </c>
      <c r="F17" s="10" t="s">
        <v>114</v>
      </c>
      <c r="G17" s="10" t="s">
        <v>16</v>
      </c>
      <c r="H17" s="10" t="s">
        <v>115</v>
      </c>
      <c r="I17" s="10"/>
      <c r="J17" s="17" t="s">
        <v>116</v>
      </c>
      <c r="K17" s="37" t="s">
        <v>117</v>
      </c>
      <c r="L17" s="59" t="s">
        <v>525</v>
      </c>
      <c r="M17" s="87">
        <v>46156</v>
      </c>
      <c r="N17" s="33"/>
      <c r="O17" s="10"/>
    </row>
    <row r="18" spans="2:15" x14ac:dyDescent="0.4">
      <c r="B18" s="13">
        <v>12</v>
      </c>
      <c r="C18" s="92" t="s">
        <v>545</v>
      </c>
      <c r="D18" s="10" t="s">
        <v>695</v>
      </c>
      <c r="E18" s="10" t="s">
        <v>85</v>
      </c>
      <c r="F18" s="10" t="s">
        <v>118</v>
      </c>
      <c r="G18" s="10" t="s">
        <v>16</v>
      </c>
      <c r="H18" s="10" t="s">
        <v>119</v>
      </c>
      <c r="I18" s="10"/>
      <c r="J18" s="17" t="s">
        <v>120</v>
      </c>
      <c r="K18" s="37" t="s">
        <v>121</v>
      </c>
      <c r="L18" s="59" t="s">
        <v>525</v>
      </c>
      <c r="M18" s="87">
        <v>46156</v>
      </c>
      <c r="N18" s="33"/>
      <c r="O18" s="10"/>
    </row>
    <row r="19" spans="2:15" ht="37.5" x14ac:dyDescent="0.4">
      <c r="B19" s="13">
        <v>13</v>
      </c>
      <c r="C19" s="92" t="s">
        <v>545</v>
      </c>
      <c r="D19" s="10" t="s">
        <v>695</v>
      </c>
      <c r="E19" s="10" t="s">
        <v>85</v>
      </c>
      <c r="F19" s="10" t="s">
        <v>122</v>
      </c>
      <c r="G19" s="10" t="s">
        <v>16</v>
      </c>
      <c r="H19" s="10" t="s">
        <v>123</v>
      </c>
      <c r="I19" s="17" t="s">
        <v>124</v>
      </c>
      <c r="J19" s="17" t="s">
        <v>124</v>
      </c>
      <c r="K19" s="37" t="s">
        <v>125</v>
      </c>
      <c r="L19" s="59" t="s">
        <v>525</v>
      </c>
      <c r="M19" s="87">
        <v>46156</v>
      </c>
      <c r="N19" s="33"/>
      <c r="O19" s="10"/>
    </row>
    <row r="20" spans="2:15" x14ac:dyDescent="0.4">
      <c r="B20" s="13">
        <v>14</v>
      </c>
      <c r="C20" s="92" t="s">
        <v>545</v>
      </c>
      <c r="D20" s="10" t="s">
        <v>695</v>
      </c>
      <c r="E20" s="10" t="s">
        <v>85</v>
      </c>
      <c r="F20" s="10" t="s">
        <v>122</v>
      </c>
      <c r="G20" s="10" t="s">
        <v>16</v>
      </c>
      <c r="H20" s="10" t="s">
        <v>126</v>
      </c>
      <c r="I20" s="10"/>
      <c r="J20" s="17" t="s">
        <v>127</v>
      </c>
      <c r="K20" s="37" t="s">
        <v>128</v>
      </c>
      <c r="L20" s="59" t="s">
        <v>525</v>
      </c>
      <c r="M20" s="87">
        <v>46156</v>
      </c>
      <c r="N20" s="33"/>
      <c r="O20" s="10"/>
    </row>
    <row r="21" spans="2:15" ht="37.5" x14ac:dyDescent="0.4">
      <c r="B21" s="13">
        <v>15</v>
      </c>
      <c r="C21" s="92" t="s">
        <v>545</v>
      </c>
      <c r="D21" s="10" t="s">
        <v>695</v>
      </c>
      <c r="E21" s="10" t="s">
        <v>85</v>
      </c>
      <c r="F21" s="10" t="s">
        <v>129</v>
      </c>
      <c r="G21" s="10" t="s">
        <v>16</v>
      </c>
      <c r="H21" s="10" t="s">
        <v>130</v>
      </c>
      <c r="I21" s="17" t="s">
        <v>131</v>
      </c>
      <c r="J21" s="17" t="s">
        <v>131</v>
      </c>
      <c r="K21" s="37" t="s">
        <v>132</v>
      </c>
      <c r="L21" s="59" t="s">
        <v>525</v>
      </c>
      <c r="M21" s="87">
        <v>46156</v>
      </c>
      <c r="N21" s="33"/>
      <c r="O21" s="10"/>
    </row>
    <row r="22" spans="2:15" x14ac:dyDescent="0.4">
      <c r="B22" s="13">
        <v>16</v>
      </c>
      <c r="C22" s="92" t="s">
        <v>545</v>
      </c>
      <c r="D22" s="10" t="s">
        <v>695</v>
      </c>
      <c r="E22" s="10" t="s">
        <v>85</v>
      </c>
      <c r="F22" s="10" t="s">
        <v>129</v>
      </c>
      <c r="G22" s="10" t="s">
        <v>16</v>
      </c>
      <c r="H22" s="10" t="s">
        <v>133</v>
      </c>
      <c r="I22" s="10"/>
      <c r="J22" s="17" t="s">
        <v>134</v>
      </c>
      <c r="K22" s="37" t="s">
        <v>135</v>
      </c>
      <c r="L22" s="59" t="s">
        <v>525</v>
      </c>
      <c r="M22" s="87">
        <v>46156</v>
      </c>
      <c r="N22" s="33"/>
      <c r="O22" s="10"/>
    </row>
    <row r="23" spans="2:15" ht="38.25" thickBot="1" x14ac:dyDescent="0.45">
      <c r="B23" s="13">
        <v>17</v>
      </c>
      <c r="C23" s="92" t="s">
        <v>545</v>
      </c>
      <c r="D23" s="18" t="s">
        <v>695</v>
      </c>
      <c r="E23" s="18" t="s">
        <v>709</v>
      </c>
      <c r="F23" s="18" t="s">
        <v>136</v>
      </c>
      <c r="G23" s="18" t="s">
        <v>16</v>
      </c>
      <c r="H23" s="18" t="s">
        <v>137</v>
      </c>
      <c r="I23" s="18"/>
      <c r="J23" s="19" t="s">
        <v>138</v>
      </c>
      <c r="K23" s="38" t="s">
        <v>139</v>
      </c>
      <c r="L23" s="78" t="s">
        <v>525</v>
      </c>
      <c r="M23" s="88">
        <v>46156</v>
      </c>
      <c r="N23" s="40"/>
      <c r="O23" s="10"/>
    </row>
    <row r="24" spans="2:15" ht="38.25" thickBot="1" x14ac:dyDescent="0.45">
      <c r="B24" s="13">
        <v>18</v>
      </c>
      <c r="C24" s="92" t="s">
        <v>545</v>
      </c>
      <c r="D24" s="20" t="s">
        <v>140</v>
      </c>
      <c r="E24" s="20" t="s">
        <v>85</v>
      </c>
      <c r="F24" s="20" t="s">
        <v>141</v>
      </c>
      <c r="G24" s="20" t="s">
        <v>16</v>
      </c>
      <c r="H24" s="20" t="s">
        <v>142</v>
      </c>
      <c r="I24" s="20"/>
      <c r="J24" s="21"/>
      <c r="K24" s="39" t="s">
        <v>143</v>
      </c>
      <c r="L24" s="65" t="s">
        <v>525</v>
      </c>
      <c r="M24" s="91">
        <v>46156</v>
      </c>
      <c r="N24" s="116"/>
      <c r="O24" s="10"/>
    </row>
    <row r="25" spans="2:15" ht="56.25" x14ac:dyDescent="0.4">
      <c r="B25" s="13">
        <v>19</v>
      </c>
      <c r="C25" s="92" t="s">
        <v>545</v>
      </c>
      <c r="D25" s="4" t="s">
        <v>140</v>
      </c>
      <c r="E25" s="4" t="s">
        <v>85</v>
      </c>
      <c r="F25" s="4" t="s">
        <v>144</v>
      </c>
      <c r="G25" s="4" t="s">
        <v>16</v>
      </c>
      <c r="H25" s="4" t="s">
        <v>145</v>
      </c>
      <c r="I25" s="4" t="s">
        <v>146</v>
      </c>
      <c r="J25" s="16" t="s">
        <v>147</v>
      </c>
      <c r="K25" s="35" t="s">
        <v>148</v>
      </c>
      <c r="L25" s="58" t="s">
        <v>525</v>
      </c>
      <c r="M25" s="90">
        <v>46156</v>
      </c>
      <c r="N25" s="31"/>
      <c r="O25" s="10"/>
    </row>
    <row r="26" spans="2:15" ht="56.25" x14ac:dyDescent="0.4">
      <c r="B26" s="13">
        <v>20</v>
      </c>
      <c r="C26" s="92" t="s">
        <v>545</v>
      </c>
      <c r="D26" s="10" t="s">
        <v>140</v>
      </c>
      <c r="E26" s="10" t="s">
        <v>85</v>
      </c>
      <c r="F26" s="10" t="s">
        <v>144</v>
      </c>
      <c r="G26" s="10" t="s">
        <v>16</v>
      </c>
      <c r="H26" s="22" t="s">
        <v>149</v>
      </c>
      <c r="I26" s="10" t="s">
        <v>150</v>
      </c>
      <c r="J26" s="15" t="s">
        <v>151</v>
      </c>
      <c r="K26" s="36" t="s">
        <v>152</v>
      </c>
      <c r="L26" s="80" t="s">
        <v>525</v>
      </c>
      <c r="M26" s="87">
        <v>46156</v>
      </c>
      <c r="N26" s="33"/>
      <c r="O26" s="10"/>
    </row>
    <row r="27" spans="2:15" ht="57" thickBot="1" x14ac:dyDescent="0.45">
      <c r="B27" s="13">
        <v>21</v>
      </c>
      <c r="C27" s="92" t="s">
        <v>545</v>
      </c>
      <c r="D27" s="18" t="s">
        <v>140</v>
      </c>
      <c r="E27" s="18" t="s">
        <v>85</v>
      </c>
      <c r="F27" s="18" t="s">
        <v>153</v>
      </c>
      <c r="G27" s="18" t="s">
        <v>16</v>
      </c>
      <c r="H27" s="23" t="s">
        <v>154</v>
      </c>
      <c r="I27" s="18" t="s">
        <v>155</v>
      </c>
      <c r="J27" s="18" t="s">
        <v>156</v>
      </c>
      <c r="K27" s="40" t="s">
        <v>152</v>
      </c>
      <c r="L27" s="64" t="s">
        <v>525</v>
      </c>
      <c r="M27" s="88">
        <v>46156</v>
      </c>
      <c r="N27" s="40"/>
      <c r="O27" s="10"/>
    </row>
    <row r="28" spans="2:15" ht="56.25" x14ac:dyDescent="0.4">
      <c r="B28" s="13">
        <v>22</v>
      </c>
      <c r="C28" s="92" t="s">
        <v>545</v>
      </c>
      <c r="D28" s="4" t="s">
        <v>140</v>
      </c>
      <c r="E28" s="4" t="s">
        <v>85</v>
      </c>
      <c r="F28" s="4" t="s">
        <v>157</v>
      </c>
      <c r="G28" s="4" t="s">
        <v>16</v>
      </c>
      <c r="H28" s="24" t="s">
        <v>158</v>
      </c>
      <c r="I28" s="4" t="s">
        <v>146</v>
      </c>
      <c r="J28" s="16" t="s">
        <v>159</v>
      </c>
      <c r="K28" s="35" t="s">
        <v>160</v>
      </c>
      <c r="L28" s="58" t="s">
        <v>525</v>
      </c>
      <c r="M28" s="89">
        <v>46156</v>
      </c>
      <c r="N28" s="31"/>
      <c r="O28" s="10"/>
    </row>
    <row r="29" spans="2:15" ht="56.25" x14ac:dyDescent="0.4">
      <c r="B29" s="13">
        <v>23</v>
      </c>
      <c r="C29" s="92" t="s">
        <v>545</v>
      </c>
      <c r="D29" s="10" t="s">
        <v>140</v>
      </c>
      <c r="E29" s="10" t="s">
        <v>85</v>
      </c>
      <c r="F29" s="10" t="s">
        <v>157</v>
      </c>
      <c r="G29" s="10" t="s">
        <v>16</v>
      </c>
      <c r="H29" s="22" t="s">
        <v>161</v>
      </c>
      <c r="I29" s="10" t="s">
        <v>150</v>
      </c>
      <c r="J29" s="15" t="s">
        <v>151</v>
      </c>
      <c r="K29" s="36" t="s">
        <v>152</v>
      </c>
      <c r="L29" s="80" t="s">
        <v>525</v>
      </c>
      <c r="M29" s="87">
        <v>46156</v>
      </c>
      <c r="N29" s="33"/>
      <c r="O29" s="10"/>
    </row>
    <row r="30" spans="2:15" ht="57" thickBot="1" x14ac:dyDescent="0.45">
      <c r="B30" s="13">
        <v>24</v>
      </c>
      <c r="C30" s="92" t="s">
        <v>545</v>
      </c>
      <c r="D30" s="7" t="s">
        <v>140</v>
      </c>
      <c r="E30" s="7" t="s">
        <v>85</v>
      </c>
      <c r="F30" s="7" t="s">
        <v>162</v>
      </c>
      <c r="G30" s="7" t="s">
        <v>16</v>
      </c>
      <c r="H30" s="25" t="s">
        <v>154</v>
      </c>
      <c r="I30" s="7" t="s">
        <v>155</v>
      </c>
      <c r="J30" s="7" t="s">
        <v>156</v>
      </c>
      <c r="K30" s="32" t="s">
        <v>152</v>
      </c>
      <c r="L30" s="61" t="s">
        <v>525</v>
      </c>
      <c r="M30" s="88">
        <v>46156</v>
      </c>
      <c r="N30" s="32"/>
      <c r="O30" s="10"/>
    </row>
    <row r="31" spans="2:15" ht="56.25" x14ac:dyDescent="0.4">
      <c r="B31" s="13">
        <v>25</v>
      </c>
      <c r="C31" s="92" t="s">
        <v>545</v>
      </c>
      <c r="D31" s="26" t="s">
        <v>140</v>
      </c>
      <c r="E31" s="26" t="s">
        <v>85</v>
      </c>
      <c r="F31" s="26" t="s">
        <v>163</v>
      </c>
      <c r="G31" s="26" t="s">
        <v>16</v>
      </c>
      <c r="H31" s="27" t="s">
        <v>164</v>
      </c>
      <c r="I31" s="26" t="s">
        <v>146</v>
      </c>
      <c r="J31" s="28" t="s">
        <v>165</v>
      </c>
      <c r="K31" s="41" t="s">
        <v>166</v>
      </c>
      <c r="L31" s="79" t="s">
        <v>525</v>
      </c>
      <c r="M31" s="89">
        <v>46156</v>
      </c>
      <c r="N31" s="117" t="s">
        <v>546</v>
      </c>
      <c r="O31" s="10" t="s">
        <v>792</v>
      </c>
    </row>
    <row r="32" spans="2:15" ht="56.25" x14ac:dyDescent="0.4">
      <c r="B32" s="13">
        <v>26</v>
      </c>
      <c r="C32" s="92" t="s">
        <v>545</v>
      </c>
      <c r="D32" s="10" t="s">
        <v>140</v>
      </c>
      <c r="E32" s="10" t="s">
        <v>85</v>
      </c>
      <c r="F32" s="10" t="s">
        <v>163</v>
      </c>
      <c r="G32" s="10" t="s">
        <v>16</v>
      </c>
      <c r="H32" s="22" t="s">
        <v>164</v>
      </c>
      <c r="I32" s="10" t="s">
        <v>146</v>
      </c>
      <c r="J32" s="17" t="s">
        <v>167</v>
      </c>
      <c r="K32" s="37" t="s">
        <v>168</v>
      </c>
      <c r="L32" s="59" t="s">
        <v>525</v>
      </c>
      <c r="M32" s="87">
        <v>46156</v>
      </c>
      <c r="N32" s="117" t="s">
        <v>547</v>
      </c>
      <c r="O32" s="10" t="s">
        <v>792</v>
      </c>
    </row>
    <row r="33" spans="2:15" ht="56.25" x14ac:dyDescent="0.4">
      <c r="B33" s="13">
        <v>27</v>
      </c>
      <c r="C33" s="92" t="s">
        <v>545</v>
      </c>
      <c r="D33" s="10" t="s">
        <v>140</v>
      </c>
      <c r="E33" s="10" t="s">
        <v>85</v>
      </c>
      <c r="F33" s="10" t="s">
        <v>163</v>
      </c>
      <c r="G33" s="10" t="s">
        <v>16</v>
      </c>
      <c r="H33" s="22" t="s">
        <v>169</v>
      </c>
      <c r="I33" s="10" t="s">
        <v>150</v>
      </c>
      <c r="J33" s="15" t="s">
        <v>151</v>
      </c>
      <c r="K33" s="36" t="s">
        <v>152</v>
      </c>
      <c r="L33" s="80" t="s">
        <v>525</v>
      </c>
      <c r="M33" s="87">
        <v>46156</v>
      </c>
      <c r="N33" s="33"/>
      <c r="O33" s="10"/>
    </row>
    <row r="34" spans="2:15" ht="57" thickBot="1" x14ac:dyDescent="0.45">
      <c r="B34" s="13">
        <v>28</v>
      </c>
      <c r="C34" s="92" t="s">
        <v>545</v>
      </c>
      <c r="D34" s="7" t="s">
        <v>140</v>
      </c>
      <c r="E34" s="7" t="s">
        <v>85</v>
      </c>
      <c r="F34" s="7" t="s">
        <v>170</v>
      </c>
      <c r="G34" s="7" t="s">
        <v>16</v>
      </c>
      <c r="H34" s="7" t="s">
        <v>154</v>
      </c>
      <c r="I34" s="7" t="s">
        <v>155</v>
      </c>
      <c r="J34" s="7" t="s">
        <v>156</v>
      </c>
      <c r="K34" s="32" t="s">
        <v>152</v>
      </c>
      <c r="L34" s="61" t="s">
        <v>525</v>
      </c>
      <c r="M34" s="88">
        <v>46156</v>
      </c>
      <c r="N34" s="32"/>
      <c r="O34" s="10"/>
    </row>
    <row r="35" spans="2:15" ht="56.25" x14ac:dyDescent="0.4">
      <c r="B35" s="13">
        <v>29</v>
      </c>
      <c r="C35" s="92" t="s">
        <v>545</v>
      </c>
      <c r="D35" s="4" t="s">
        <v>140</v>
      </c>
      <c r="E35" s="4" t="s">
        <v>85</v>
      </c>
      <c r="F35" s="4" t="s">
        <v>171</v>
      </c>
      <c r="G35" s="4" t="s">
        <v>16</v>
      </c>
      <c r="H35" s="4" t="s">
        <v>172</v>
      </c>
      <c r="I35" s="4" t="s">
        <v>173</v>
      </c>
      <c r="J35" s="4" t="s">
        <v>174</v>
      </c>
      <c r="K35" s="31" t="s">
        <v>175</v>
      </c>
      <c r="L35" s="62" t="s">
        <v>525</v>
      </c>
      <c r="M35" s="89">
        <v>46156</v>
      </c>
      <c r="N35" s="31"/>
      <c r="O35" s="10"/>
    </row>
    <row r="36" spans="2:15" ht="37.5" x14ac:dyDescent="0.4">
      <c r="B36" s="13">
        <v>30</v>
      </c>
      <c r="C36" s="92" t="s">
        <v>545</v>
      </c>
      <c r="D36" s="10" t="s">
        <v>140</v>
      </c>
      <c r="E36" s="10" t="s">
        <v>85</v>
      </c>
      <c r="F36" s="10" t="s">
        <v>171</v>
      </c>
      <c r="G36" s="10" t="s">
        <v>16</v>
      </c>
      <c r="H36" s="10" t="s">
        <v>176</v>
      </c>
      <c r="I36" s="10" t="s">
        <v>177</v>
      </c>
      <c r="J36" s="10" t="s">
        <v>178</v>
      </c>
      <c r="K36" s="33" t="s">
        <v>179</v>
      </c>
      <c r="L36" s="60" t="s">
        <v>525</v>
      </c>
      <c r="M36" s="87">
        <v>46156</v>
      </c>
      <c r="N36" s="33"/>
      <c r="O36" s="10"/>
    </row>
    <row r="37" spans="2:15" ht="37.5" x14ac:dyDescent="0.4">
      <c r="B37" s="13">
        <v>31</v>
      </c>
      <c r="C37" s="92" t="s">
        <v>545</v>
      </c>
      <c r="D37" s="10" t="s">
        <v>140</v>
      </c>
      <c r="E37" s="10" t="s">
        <v>85</v>
      </c>
      <c r="F37" s="10" t="s">
        <v>171</v>
      </c>
      <c r="G37" s="10" t="s">
        <v>16</v>
      </c>
      <c r="H37" s="10" t="s">
        <v>176</v>
      </c>
      <c r="I37" s="10" t="s">
        <v>177</v>
      </c>
      <c r="J37" s="10" t="s">
        <v>180</v>
      </c>
      <c r="K37" s="33" t="s">
        <v>179</v>
      </c>
      <c r="L37" s="60" t="s">
        <v>525</v>
      </c>
      <c r="M37" s="87">
        <v>46156</v>
      </c>
      <c r="N37" s="33"/>
      <c r="O37" s="10"/>
    </row>
    <row r="38" spans="2:15" ht="37.5" x14ac:dyDescent="0.4">
      <c r="B38" s="13">
        <v>32</v>
      </c>
      <c r="C38" s="92" t="s">
        <v>545</v>
      </c>
      <c r="D38" s="10" t="s">
        <v>140</v>
      </c>
      <c r="E38" s="10" t="s">
        <v>85</v>
      </c>
      <c r="F38" s="10" t="s">
        <v>171</v>
      </c>
      <c r="G38" s="10" t="s">
        <v>16</v>
      </c>
      <c r="H38" s="10" t="s">
        <v>181</v>
      </c>
      <c r="I38" s="10" t="s">
        <v>182</v>
      </c>
      <c r="J38" s="10" t="s">
        <v>183</v>
      </c>
      <c r="K38" s="33" t="s">
        <v>175</v>
      </c>
      <c r="L38" s="60" t="s">
        <v>525</v>
      </c>
      <c r="M38" s="87">
        <v>46156</v>
      </c>
      <c r="N38" s="33"/>
      <c r="O38" s="10"/>
    </row>
    <row r="39" spans="2:15" ht="37.5" x14ac:dyDescent="0.4">
      <c r="B39" s="13">
        <v>33</v>
      </c>
      <c r="C39" s="92" t="s">
        <v>545</v>
      </c>
      <c r="D39" s="10" t="s">
        <v>140</v>
      </c>
      <c r="E39" s="10" t="s">
        <v>85</v>
      </c>
      <c r="F39" s="10" t="s">
        <v>171</v>
      </c>
      <c r="G39" s="10" t="s">
        <v>16</v>
      </c>
      <c r="H39" s="10" t="s">
        <v>184</v>
      </c>
      <c r="I39" s="10" t="s">
        <v>185</v>
      </c>
      <c r="J39" s="10" t="s">
        <v>186</v>
      </c>
      <c r="K39" s="33" t="s">
        <v>175</v>
      </c>
      <c r="L39" s="60" t="s">
        <v>525</v>
      </c>
      <c r="M39" s="87">
        <v>46156</v>
      </c>
      <c r="N39" s="33"/>
      <c r="O39" s="10"/>
    </row>
    <row r="40" spans="2:15" ht="75.75" thickBot="1" x14ac:dyDescent="0.45">
      <c r="B40" s="13">
        <v>34</v>
      </c>
      <c r="C40" s="92" t="s">
        <v>545</v>
      </c>
      <c r="D40" s="7" t="s">
        <v>140</v>
      </c>
      <c r="E40" s="7" t="s">
        <v>85</v>
      </c>
      <c r="F40" s="7" t="s">
        <v>187</v>
      </c>
      <c r="G40" s="7" t="s">
        <v>16</v>
      </c>
      <c r="H40" s="7" t="s">
        <v>154</v>
      </c>
      <c r="I40" s="7" t="s">
        <v>155</v>
      </c>
      <c r="J40" s="7" t="s">
        <v>188</v>
      </c>
      <c r="K40" s="32" t="s">
        <v>189</v>
      </c>
      <c r="L40" s="61" t="s">
        <v>525</v>
      </c>
      <c r="M40" s="88">
        <v>46156</v>
      </c>
      <c r="N40" s="32"/>
      <c r="O40" s="10"/>
    </row>
    <row r="41" spans="2:15" ht="49.9" customHeight="1" x14ac:dyDescent="0.4">
      <c r="B41" s="13">
        <v>35</v>
      </c>
      <c r="C41" s="92" t="s">
        <v>545</v>
      </c>
      <c r="D41" s="4" t="s">
        <v>140</v>
      </c>
      <c r="E41" s="4" t="s">
        <v>85</v>
      </c>
      <c r="F41" s="4" t="s">
        <v>190</v>
      </c>
      <c r="G41" s="4" t="s">
        <v>16</v>
      </c>
      <c r="H41" s="24" t="s">
        <v>191</v>
      </c>
      <c r="I41" s="4" t="s">
        <v>146</v>
      </c>
      <c r="J41" s="16" t="s">
        <v>192</v>
      </c>
      <c r="K41" s="35" t="s">
        <v>193</v>
      </c>
      <c r="L41" s="58" t="s">
        <v>525</v>
      </c>
      <c r="M41" s="89">
        <v>46156</v>
      </c>
      <c r="N41" s="35" t="s">
        <v>548</v>
      </c>
      <c r="O41" s="10" t="s">
        <v>792</v>
      </c>
    </row>
    <row r="42" spans="2:15" ht="56.25" x14ac:dyDescent="0.4">
      <c r="B42" s="13">
        <v>36</v>
      </c>
      <c r="C42" s="92" t="s">
        <v>545</v>
      </c>
      <c r="D42" s="10" t="s">
        <v>140</v>
      </c>
      <c r="E42" s="10" t="s">
        <v>85</v>
      </c>
      <c r="F42" s="10" t="s">
        <v>194</v>
      </c>
      <c r="G42" s="10" t="s">
        <v>16</v>
      </c>
      <c r="H42" s="22" t="s">
        <v>195</v>
      </c>
      <c r="I42" s="10" t="s">
        <v>150</v>
      </c>
      <c r="J42" s="15" t="s">
        <v>151</v>
      </c>
      <c r="K42" s="36" t="s">
        <v>152</v>
      </c>
      <c r="L42" s="80" t="s">
        <v>525</v>
      </c>
      <c r="M42" s="87">
        <v>46156</v>
      </c>
      <c r="N42" s="33"/>
      <c r="O42" s="10"/>
    </row>
    <row r="43" spans="2:15" ht="56.25" x14ac:dyDescent="0.4">
      <c r="B43" s="13">
        <v>37</v>
      </c>
      <c r="C43" s="92" t="s">
        <v>545</v>
      </c>
      <c r="D43" s="10" t="s">
        <v>140</v>
      </c>
      <c r="E43" s="10" t="s">
        <v>85</v>
      </c>
      <c r="F43" s="10" t="s">
        <v>196</v>
      </c>
      <c r="G43" s="10" t="s">
        <v>16</v>
      </c>
      <c r="H43" s="10" t="s">
        <v>154</v>
      </c>
      <c r="I43" s="10" t="s">
        <v>155</v>
      </c>
      <c r="J43" s="10" t="s">
        <v>156</v>
      </c>
      <c r="K43" s="33" t="s">
        <v>152</v>
      </c>
      <c r="L43" s="60" t="s">
        <v>525</v>
      </c>
      <c r="M43" s="87">
        <v>46156</v>
      </c>
      <c r="N43" s="33"/>
      <c r="O43" s="10"/>
    </row>
    <row r="44" spans="2:15" ht="75" x14ac:dyDescent="0.4">
      <c r="B44" s="13">
        <v>38</v>
      </c>
      <c r="C44" s="92" t="s">
        <v>545</v>
      </c>
      <c r="D44" s="10" t="s">
        <v>140</v>
      </c>
      <c r="E44" s="10" t="s">
        <v>85</v>
      </c>
      <c r="F44" s="10" t="s">
        <v>197</v>
      </c>
      <c r="G44" s="10" t="s">
        <v>16</v>
      </c>
      <c r="H44" s="10" t="s">
        <v>198</v>
      </c>
      <c r="I44" s="10" t="s">
        <v>199</v>
      </c>
      <c r="J44" s="17" t="s">
        <v>200</v>
      </c>
      <c r="K44" s="37" t="s">
        <v>152</v>
      </c>
      <c r="L44" s="59" t="s">
        <v>525</v>
      </c>
      <c r="M44" s="87">
        <v>46156</v>
      </c>
      <c r="N44" s="33" t="s">
        <v>549</v>
      </c>
      <c r="O44" s="10"/>
    </row>
    <row r="45" spans="2:15" ht="75" x14ac:dyDescent="0.4">
      <c r="B45" s="13">
        <v>39</v>
      </c>
      <c r="C45" s="92" t="s">
        <v>545</v>
      </c>
      <c r="D45" s="10" t="s">
        <v>140</v>
      </c>
      <c r="E45" s="10" t="s">
        <v>85</v>
      </c>
      <c r="F45" s="10" t="s">
        <v>201</v>
      </c>
      <c r="G45" s="10" t="s">
        <v>16</v>
      </c>
      <c r="H45" s="10" t="s">
        <v>198</v>
      </c>
      <c r="I45" s="10" t="s">
        <v>199</v>
      </c>
      <c r="J45" s="17" t="s">
        <v>202</v>
      </c>
      <c r="K45" s="37" t="s">
        <v>152</v>
      </c>
      <c r="L45" s="59" t="s">
        <v>525</v>
      </c>
      <c r="M45" s="87">
        <v>46156</v>
      </c>
      <c r="N45" s="33" t="s">
        <v>528</v>
      </c>
      <c r="O45" s="10"/>
    </row>
    <row r="46" spans="2:15" ht="94.5" thickBot="1" x14ac:dyDescent="0.45">
      <c r="B46" s="13">
        <v>40</v>
      </c>
      <c r="C46" s="92" t="s">
        <v>545</v>
      </c>
      <c r="D46" s="10" t="s">
        <v>140</v>
      </c>
      <c r="E46" s="10" t="s">
        <v>85</v>
      </c>
      <c r="F46" s="10" t="s">
        <v>163</v>
      </c>
      <c r="G46" s="10" t="s">
        <v>16</v>
      </c>
      <c r="H46" s="10" t="s">
        <v>198</v>
      </c>
      <c r="I46" s="10" t="s">
        <v>199</v>
      </c>
      <c r="J46" s="17" t="s">
        <v>203</v>
      </c>
      <c r="K46" s="37" t="s">
        <v>152</v>
      </c>
      <c r="L46" s="59" t="s">
        <v>525</v>
      </c>
      <c r="M46" s="88">
        <v>46156</v>
      </c>
      <c r="N46" s="33" t="s">
        <v>528</v>
      </c>
      <c r="O46" s="10"/>
    </row>
    <row r="47" spans="2:15" ht="37.5" x14ac:dyDescent="0.4">
      <c r="B47" s="13">
        <v>41</v>
      </c>
      <c r="C47" s="92" t="s">
        <v>545</v>
      </c>
      <c r="D47" s="4" t="s">
        <v>140</v>
      </c>
      <c r="E47" s="4" t="s">
        <v>85</v>
      </c>
      <c r="F47" s="4" t="s">
        <v>204</v>
      </c>
      <c r="G47" s="4" t="s">
        <v>16</v>
      </c>
      <c r="H47" s="4" t="s">
        <v>205</v>
      </c>
      <c r="I47" s="4" t="s">
        <v>206</v>
      </c>
      <c r="J47" s="4"/>
      <c r="K47" s="31" t="s">
        <v>207</v>
      </c>
      <c r="L47" s="62" t="s">
        <v>525</v>
      </c>
      <c r="M47" s="89">
        <v>46156</v>
      </c>
      <c r="N47" s="31"/>
      <c r="O47" s="10"/>
    </row>
    <row r="48" spans="2:15" ht="37.5" x14ac:dyDescent="0.4">
      <c r="B48" s="13">
        <v>42</v>
      </c>
      <c r="C48" s="92" t="s">
        <v>545</v>
      </c>
      <c r="D48" s="10" t="s">
        <v>140</v>
      </c>
      <c r="E48" s="10" t="s">
        <v>85</v>
      </c>
      <c r="F48" s="10" t="s">
        <v>204</v>
      </c>
      <c r="G48" s="10" t="s">
        <v>16</v>
      </c>
      <c r="H48" s="10" t="s">
        <v>205</v>
      </c>
      <c r="I48" s="10" t="s">
        <v>208</v>
      </c>
      <c r="J48" s="10" t="s">
        <v>209</v>
      </c>
      <c r="K48" s="33" t="s">
        <v>210</v>
      </c>
      <c r="L48" s="60" t="s">
        <v>525</v>
      </c>
      <c r="M48" s="87">
        <v>46156</v>
      </c>
      <c r="N48" s="33"/>
      <c r="O48" s="10"/>
    </row>
    <row r="49" spans="2:16" s="86" customFormat="1" ht="37.5" x14ac:dyDescent="0.4">
      <c r="B49" s="13">
        <v>43</v>
      </c>
      <c r="C49" s="92" t="s">
        <v>545</v>
      </c>
      <c r="D49" s="81" t="s">
        <v>140</v>
      </c>
      <c r="E49" s="81" t="s">
        <v>85</v>
      </c>
      <c r="F49" s="81" t="s">
        <v>204</v>
      </c>
      <c r="G49" s="81" t="s">
        <v>16</v>
      </c>
      <c r="H49" s="81" t="s">
        <v>205</v>
      </c>
      <c r="I49" s="81" t="s">
        <v>211</v>
      </c>
      <c r="J49" s="81"/>
      <c r="K49" s="82" t="s">
        <v>210</v>
      </c>
      <c r="L49" s="83" t="s">
        <v>525</v>
      </c>
      <c r="M49" s="84"/>
      <c r="N49" s="82" t="s">
        <v>697</v>
      </c>
      <c r="O49" s="81"/>
      <c r="P49" s="85"/>
    </row>
    <row r="50" spans="2:16" ht="37.5" x14ac:dyDescent="0.4">
      <c r="B50" s="13">
        <v>44</v>
      </c>
      <c r="C50" s="92" t="s">
        <v>545</v>
      </c>
      <c r="D50" s="10" t="s">
        <v>140</v>
      </c>
      <c r="E50" s="10" t="s">
        <v>85</v>
      </c>
      <c r="F50" s="10" t="s">
        <v>204</v>
      </c>
      <c r="G50" s="10" t="s">
        <v>16</v>
      </c>
      <c r="H50" s="10" t="s">
        <v>212</v>
      </c>
      <c r="I50" s="10" t="s">
        <v>213</v>
      </c>
      <c r="J50" s="10" t="s">
        <v>214</v>
      </c>
      <c r="K50" s="33" t="s">
        <v>215</v>
      </c>
      <c r="L50" s="60" t="s">
        <v>525</v>
      </c>
      <c r="M50" s="87">
        <v>46156</v>
      </c>
      <c r="N50" s="33"/>
      <c r="O50" s="10"/>
    </row>
    <row r="51" spans="2:16" ht="37.5" x14ac:dyDescent="0.4">
      <c r="B51" s="13">
        <v>45</v>
      </c>
      <c r="C51" s="92" t="s">
        <v>545</v>
      </c>
      <c r="D51" s="10" t="s">
        <v>140</v>
      </c>
      <c r="E51" s="10" t="s">
        <v>85</v>
      </c>
      <c r="F51" s="10" t="s">
        <v>204</v>
      </c>
      <c r="G51" s="10" t="s">
        <v>16</v>
      </c>
      <c r="H51" s="10" t="s">
        <v>212</v>
      </c>
      <c r="I51" s="10" t="s">
        <v>216</v>
      </c>
      <c r="J51" s="10" t="s">
        <v>217</v>
      </c>
      <c r="K51" s="33" t="s">
        <v>215</v>
      </c>
      <c r="L51" s="60" t="s">
        <v>525</v>
      </c>
      <c r="M51" s="87">
        <v>46156</v>
      </c>
      <c r="N51" s="33"/>
      <c r="O51" s="10"/>
    </row>
    <row r="52" spans="2:16" ht="37.5" x14ac:dyDescent="0.4">
      <c r="B52" s="13">
        <v>46</v>
      </c>
      <c r="C52" s="92" t="s">
        <v>545</v>
      </c>
      <c r="D52" s="18" t="s">
        <v>140</v>
      </c>
      <c r="E52" s="18" t="s">
        <v>85</v>
      </c>
      <c r="F52" s="18" t="s">
        <v>204</v>
      </c>
      <c r="G52" s="18" t="s">
        <v>16</v>
      </c>
      <c r="H52" s="18" t="s">
        <v>212</v>
      </c>
      <c r="I52" s="18" t="s">
        <v>218</v>
      </c>
      <c r="J52" s="18" t="s">
        <v>219</v>
      </c>
      <c r="K52" s="40" t="s">
        <v>215</v>
      </c>
      <c r="L52" s="64" t="s">
        <v>525</v>
      </c>
      <c r="M52" s="87">
        <v>46156</v>
      </c>
      <c r="N52" s="40"/>
      <c r="O52" s="10"/>
    </row>
    <row r="53" spans="2:16" x14ac:dyDescent="0.4">
      <c r="B53" s="13">
        <v>47</v>
      </c>
      <c r="C53" s="92" t="s">
        <v>545</v>
      </c>
      <c r="D53" s="10" t="s">
        <v>696</v>
      </c>
      <c r="E53" s="10" t="s">
        <v>698</v>
      </c>
      <c r="F53" s="10" t="s">
        <v>626</v>
      </c>
      <c r="G53" s="18" t="s">
        <v>16</v>
      </c>
      <c r="H53" s="110"/>
      <c r="I53" s="110"/>
      <c r="J53" s="110" t="s">
        <v>700</v>
      </c>
      <c r="K53" s="72" t="s">
        <v>705</v>
      </c>
      <c r="L53" s="60" t="s">
        <v>525</v>
      </c>
      <c r="M53" s="68">
        <v>46162</v>
      </c>
      <c r="N53" s="33"/>
      <c r="O53" s="10"/>
    </row>
    <row r="54" spans="2:16" x14ac:dyDescent="0.4">
      <c r="B54" s="13">
        <v>48</v>
      </c>
      <c r="C54" s="92" t="s">
        <v>545</v>
      </c>
      <c r="D54" s="10"/>
      <c r="E54" s="10" t="s">
        <v>699</v>
      </c>
      <c r="F54" s="10"/>
      <c r="G54" s="18" t="s">
        <v>16</v>
      </c>
      <c r="H54" s="10"/>
      <c r="I54" s="10"/>
      <c r="J54" s="10" t="s">
        <v>701</v>
      </c>
      <c r="K54" s="33" t="s">
        <v>706</v>
      </c>
      <c r="L54" s="60" t="s">
        <v>783</v>
      </c>
      <c r="M54" s="68">
        <v>46162</v>
      </c>
      <c r="N54" s="33"/>
      <c r="O54" s="10"/>
    </row>
    <row r="55" spans="2:16" x14ac:dyDescent="0.4">
      <c r="B55" s="13"/>
      <c r="C55" s="92" t="s">
        <v>545</v>
      </c>
      <c r="D55" s="10"/>
      <c r="E55" s="10" t="s">
        <v>693</v>
      </c>
      <c r="F55" s="10"/>
      <c r="G55" s="18" t="s">
        <v>16</v>
      </c>
      <c r="H55" s="10"/>
      <c r="I55" s="10"/>
      <c r="J55" s="10" t="s">
        <v>702</v>
      </c>
      <c r="K55" s="33" t="s">
        <v>707</v>
      </c>
      <c r="L55" s="60" t="s">
        <v>783</v>
      </c>
      <c r="M55" s="68">
        <v>46162</v>
      </c>
      <c r="N55" s="33"/>
      <c r="O55" s="10"/>
    </row>
    <row r="56" spans="2:16" x14ac:dyDescent="0.4">
      <c r="B56" s="13">
        <v>49</v>
      </c>
      <c r="C56" s="92" t="s">
        <v>545</v>
      </c>
      <c r="D56" s="10"/>
      <c r="E56" s="10"/>
      <c r="F56" s="10" t="s">
        <v>686</v>
      </c>
      <c r="G56" s="18" t="s">
        <v>16</v>
      </c>
      <c r="H56" s="110"/>
      <c r="I56" s="110"/>
      <c r="J56" s="110" t="s">
        <v>689</v>
      </c>
      <c r="K56" s="72" t="s">
        <v>690</v>
      </c>
      <c r="L56" s="60" t="s">
        <v>525</v>
      </c>
      <c r="M56" s="68">
        <v>46162</v>
      </c>
      <c r="N56" s="33"/>
      <c r="O56" s="10"/>
    </row>
    <row r="57" spans="2:16" x14ac:dyDescent="0.4">
      <c r="B57" s="13">
        <v>50</v>
      </c>
      <c r="C57" s="92" t="s">
        <v>545</v>
      </c>
      <c r="D57" s="10"/>
      <c r="E57" s="10"/>
      <c r="F57" s="10" t="s">
        <v>626</v>
      </c>
      <c r="G57" s="18" t="s">
        <v>16</v>
      </c>
      <c r="H57" s="10"/>
      <c r="I57" s="10"/>
      <c r="J57" s="10" t="s">
        <v>691</v>
      </c>
      <c r="K57" s="33" t="s">
        <v>692</v>
      </c>
      <c r="L57" s="60" t="s">
        <v>783</v>
      </c>
      <c r="M57" s="68">
        <v>46162</v>
      </c>
      <c r="N57" s="33"/>
      <c r="O57" s="10"/>
    </row>
    <row r="58" spans="2:16" x14ac:dyDescent="0.4">
      <c r="B58" s="13">
        <v>51</v>
      </c>
      <c r="C58" s="92" t="s">
        <v>545</v>
      </c>
      <c r="D58" s="10"/>
      <c r="E58" s="10"/>
      <c r="F58" s="10"/>
      <c r="G58" s="18" t="s">
        <v>16</v>
      </c>
      <c r="H58" s="10"/>
      <c r="I58" s="10"/>
      <c r="J58" s="10" t="s">
        <v>694</v>
      </c>
      <c r="K58" s="33" t="s">
        <v>703</v>
      </c>
      <c r="L58" s="60" t="s">
        <v>783</v>
      </c>
      <c r="M58" s="68">
        <v>46162</v>
      </c>
      <c r="N58" s="33"/>
      <c r="O58" s="10"/>
    </row>
    <row r="59" spans="2:16" x14ac:dyDescent="0.4">
      <c r="B59" s="13">
        <v>52</v>
      </c>
      <c r="C59" s="92" t="s">
        <v>545</v>
      </c>
      <c r="D59" s="10"/>
      <c r="E59" s="10" t="s">
        <v>685</v>
      </c>
      <c r="F59" s="10"/>
      <c r="G59" s="18" t="s">
        <v>16</v>
      </c>
      <c r="H59" s="10"/>
      <c r="I59" s="10"/>
      <c r="J59" s="10" t="s">
        <v>704</v>
      </c>
      <c r="K59" s="33" t="s">
        <v>708</v>
      </c>
      <c r="L59" s="60" t="s">
        <v>783</v>
      </c>
      <c r="M59" s="68">
        <v>46162</v>
      </c>
      <c r="N59" s="33"/>
      <c r="O59" s="10"/>
    </row>
    <row r="60" spans="2:16" x14ac:dyDescent="0.4">
      <c r="B60" s="13">
        <v>53</v>
      </c>
      <c r="C60" s="92" t="s">
        <v>545</v>
      </c>
      <c r="D60" s="10"/>
      <c r="E60" s="10"/>
      <c r="F60" s="10"/>
      <c r="G60" s="18" t="s">
        <v>16</v>
      </c>
      <c r="H60" s="10"/>
      <c r="I60" s="10"/>
      <c r="J60" s="10" t="s">
        <v>712</v>
      </c>
      <c r="K60" s="33" t="s">
        <v>717</v>
      </c>
      <c r="L60" s="60" t="s">
        <v>783</v>
      </c>
      <c r="M60" s="68">
        <v>46162</v>
      </c>
      <c r="N60" s="33"/>
      <c r="O60" s="10"/>
    </row>
    <row r="61" spans="2:16" x14ac:dyDescent="0.4">
      <c r="B61" s="13">
        <v>54</v>
      </c>
      <c r="C61" s="92" t="s">
        <v>545</v>
      </c>
      <c r="D61" s="10"/>
      <c r="E61" s="10"/>
      <c r="F61" s="10"/>
      <c r="G61" s="18" t="s">
        <v>16</v>
      </c>
      <c r="H61" s="10"/>
      <c r="I61" s="10"/>
      <c r="J61" s="10" t="s">
        <v>713</v>
      </c>
      <c r="K61" s="33" t="s">
        <v>718</v>
      </c>
      <c r="L61" s="60" t="s">
        <v>525</v>
      </c>
      <c r="M61" s="68">
        <v>46162</v>
      </c>
      <c r="N61" s="33"/>
      <c r="O61" s="10"/>
    </row>
    <row r="62" spans="2:16" x14ac:dyDescent="0.4">
      <c r="B62" s="13">
        <v>55</v>
      </c>
      <c r="C62" s="92" t="s">
        <v>545</v>
      </c>
      <c r="D62" s="10"/>
      <c r="E62" s="10"/>
      <c r="F62" s="10"/>
      <c r="G62" s="18" t="s">
        <v>16</v>
      </c>
      <c r="H62" s="10"/>
      <c r="I62" s="10"/>
      <c r="J62" s="10" t="s">
        <v>714</v>
      </c>
      <c r="K62" s="33" t="s">
        <v>719</v>
      </c>
      <c r="L62" s="60" t="s">
        <v>525</v>
      </c>
      <c r="M62" s="68">
        <v>46162</v>
      </c>
      <c r="N62" s="33"/>
      <c r="O62" s="10"/>
    </row>
    <row r="63" spans="2:16" x14ac:dyDescent="0.4">
      <c r="B63" s="13">
        <v>56</v>
      </c>
      <c r="C63" s="92" t="s">
        <v>545</v>
      </c>
      <c r="D63" s="10"/>
      <c r="E63" s="10"/>
      <c r="F63" s="10"/>
      <c r="G63" s="18" t="s">
        <v>16</v>
      </c>
      <c r="H63" s="10"/>
      <c r="I63" s="10"/>
      <c r="J63" s="10" t="s">
        <v>715</v>
      </c>
      <c r="K63" s="33" t="s">
        <v>720</v>
      </c>
      <c r="L63" s="60" t="s">
        <v>783</v>
      </c>
      <c r="M63" s="68">
        <v>46162</v>
      </c>
      <c r="N63" s="33"/>
      <c r="O63" s="10"/>
    </row>
    <row r="64" spans="2:16" x14ac:dyDescent="0.4">
      <c r="B64" s="13">
        <v>57</v>
      </c>
      <c r="C64" s="92" t="s">
        <v>545</v>
      </c>
      <c r="D64" s="10"/>
      <c r="E64" s="10" t="s">
        <v>710</v>
      </c>
      <c r="F64" s="10" t="s">
        <v>627</v>
      </c>
      <c r="G64" s="18" t="s">
        <v>16</v>
      </c>
      <c r="H64" s="10"/>
      <c r="I64" s="10"/>
      <c r="J64" s="10" t="s">
        <v>721</v>
      </c>
      <c r="K64" s="33" t="s">
        <v>725</v>
      </c>
      <c r="L64" s="60" t="s">
        <v>525</v>
      </c>
      <c r="M64" s="68">
        <v>46162</v>
      </c>
      <c r="N64" s="33"/>
      <c r="O64" s="10"/>
    </row>
    <row r="65" spans="2:16" x14ac:dyDescent="0.4">
      <c r="B65" s="13">
        <v>58</v>
      </c>
      <c r="C65" s="92" t="s">
        <v>545</v>
      </c>
      <c r="D65" s="10"/>
      <c r="E65" s="10"/>
      <c r="F65" s="10" t="s">
        <v>626</v>
      </c>
      <c r="G65" s="18" t="s">
        <v>16</v>
      </c>
      <c r="H65" s="10"/>
      <c r="I65" s="10"/>
      <c r="J65" s="10" t="s">
        <v>716</v>
      </c>
      <c r="K65" s="33" t="s">
        <v>708</v>
      </c>
      <c r="L65" s="60" t="s">
        <v>525</v>
      </c>
      <c r="M65" s="68">
        <v>46162</v>
      </c>
      <c r="N65" s="33"/>
      <c r="O65" s="10"/>
    </row>
    <row r="66" spans="2:16" x14ac:dyDescent="0.4">
      <c r="B66" s="13">
        <v>59</v>
      </c>
      <c r="C66" s="92" t="s">
        <v>545</v>
      </c>
      <c r="D66" s="10"/>
      <c r="E66" s="10" t="s">
        <v>711</v>
      </c>
      <c r="F66" s="10" t="s">
        <v>627</v>
      </c>
      <c r="G66" s="18" t="s">
        <v>16</v>
      </c>
      <c r="H66" s="10"/>
      <c r="I66" s="10"/>
      <c r="J66" s="10" t="s">
        <v>722</v>
      </c>
      <c r="K66" s="33" t="s">
        <v>726</v>
      </c>
      <c r="L66" s="60" t="s">
        <v>783</v>
      </c>
      <c r="M66" s="68">
        <v>46162</v>
      </c>
      <c r="N66" s="33"/>
      <c r="O66" s="10"/>
    </row>
    <row r="67" spans="2:16" x14ac:dyDescent="0.4">
      <c r="B67" s="13">
        <v>60</v>
      </c>
      <c r="C67" s="92" t="s">
        <v>545</v>
      </c>
      <c r="D67" s="10"/>
      <c r="E67" s="10"/>
      <c r="F67" s="10" t="s">
        <v>626</v>
      </c>
      <c r="G67" s="18" t="s">
        <v>16</v>
      </c>
      <c r="H67" s="10"/>
      <c r="I67" s="10"/>
      <c r="J67" s="10" t="s">
        <v>723</v>
      </c>
      <c r="K67" s="33" t="s">
        <v>724</v>
      </c>
      <c r="L67" s="60" t="s">
        <v>525</v>
      </c>
      <c r="M67" s="68">
        <v>46162</v>
      </c>
      <c r="N67" s="33"/>
      <c r="O67" s="10"/>
    </row>
    <row r="68" spans="2:16" x14ac:dyDescent="0.4">
      <c r="B68" s="13">
        <v>61</v>
      </c>
      <c r="C68" s="92" t="s">
        <v>545</v>
      </c>
      <c r="D68" s="10"/>
      <c r="E68" s="10"/>
      <c r="F68" s="10"/>
      <c r="G68" s="18" t="s">
        <v>16</v>
      </c>
      <c r="H68" s="10"/>
      <c r="I68" s="10"/>
      <c r="J68" s="10" t="s">
        <v>716</v>
      </c>
      <c r="K68" s="33" t="s">
        <v>708</v>
      </c>
      <c r="L68" s="60" t="s">
        <v>525</v>
      </c>
      <c r="M68" s="68">
        <v>46162</v>
      </c>
      <c r="N68" s="33"/>
      <c r="O68" s="10"/>
    </row>
    <row r="69" spans="2:16" x14ac:dyDescent="0.4">
      <c r="B69" s="13">
        <v>62</v>
      </c>
      <c r="C69" s="92" t="s">
        <v>545</v>
      </c>
      <c r="D69" s="10"/>
      <c r="E69" s="10" t="s">
        <v>727</v>
      </c>
      <c r="F69" s="10" t="s">
        <v>728</v>
      </c>
      <c r="G69" s="18" t="s">
        <v>16</v>
      </c>
      <c r="H69" s="10"/>
      <c r="I69" s="10"/>
      <c r="J69" s="10" t="s">
        <v>729</v>
      </c>
      <c r="K69" s="10" t="s">
        <v>730</v>
      </c>
      <c r="L69" s="60" t="s">
        <v>525</v>
      </c>
      <c r="M69" s="68">
        <v>46162</v>
      </c>
      <c r="N69" s="33"/>
      <c r="O69" s="10"/>
    </row>
    <row r="70" spans="2:16" x14ac:dyDescent="0.4">
      <c r="B70" s="13">
        <v>63</v>
      </c>
      <c r="C70" s="92" t="s">
        <v>545</v>
      </c>
      <c r="D70" s="10"/>
      <c r="E70" s="10"/>
      <c r="F70" s="10" t="s">
        <v>626</v>
      </c>
      <c r="G70" s="18" t="s">
        <v>16</v>
      </c>
      <c r="H70" s="10"/>
      <c r="I70" s="10"/>
      <c r="J70" s="10" t="s">
        <v>731</v>
      </c>
      <c r="K70" s="33" t="s">
        <v>732</v>
      </c>
      <c r="L70" s="60" t="s">
        <v>783</v>
      </c>
      <c r="M70" s="68">
        <v>46162</v>
      </c>
      <c r="N70" s="33"/>
      <c r="O70" s="10"/>
    </row>
    <row r="71" spans="2:16" x14ac:dyDescent="0.4">
      <c r="B71" s="13">
        <v>64</v>
      </c>
      <c r="C71" s="92" t="s">
        <v>545</v>
      </c>
      <c r="D71" s="10"/>
      <c r="E71" s="10"/>
      <c r="F71" s="10" t="s">
        <v>626</v>
      </c>
      <c r="G71" s="18" t="s">
        <v>16</v>
      </c>
      <c r="H71" s="10"/>
      <c r="I71" s="10"/>
      <c r="J71" s="10" t="s">
        <v>716</v>
      </c>
      <c r="K71" s="33" t="s">
        <v>708</v>
      </c>
      <c r="L71" s="60" t="s">
        <v>525</v>
      </c>
      <c r="M71" s="68">
        <v>46162</v>
      </c>
      <c r="N71" s="33"/>
      <c r="O71" s="10"/>
    </row>
    <row r="72" spans="2:16" x14ac:dyDescent="0.4">
      <c r="B72" s="13">
        <v>65</v>
      </c>
      <c r="C72" s="92" t="s">
        <v>545</v>
      </c>
      <c r="D72" s="10"/>
      <c r="E72" s="10" t="s">
        <v>733</v>
      </c>
      <c r="F72" s="10" t="s">
        <v>627</v>
      </c>
      <c r="G72" s="18" t="s">
        <v>16</v>
      </c>
      <c r="H72" s="10"/>
      <c r="I72" s="10"/>
      <c r="J72" s="10" t="s">
        <v>734</v>
      </c>
      <c r="K72" s="33" t="s">
        <v>735</v>
      </c>
      <c r="L72" s="60" t="s">
        <v>783</v>
      </c>
      <c r="M72" s="68">
        <v>46162</v>
      </c>
      <c r="N72" s="33"/>
      <c r="O72" s="10"/>
    </row>
    <row r="73" spans="2:16" ht="37.5" x14ac:dyDescent="0.4">
      <c r="B73" s="13">
        <v>66</v>
      </c>
      <c r="C73" s="92" t="s">
        <v>545</v>
      </c>
      <c r="D73" s="10"/>
      <c r="E73" s="10"/>
      <c r="F73" s="10" t="s">
        <v>736</v>
      </c>
      <c r="G73" s="18" t="s">
        <v>16</v>
      </c>
      <c r="H73" s="10"/>
      <c r="I73" s="10"/>
      <c r="J73" s="10" t="s">
        <v>737</v>
      </c>
      <c r="K73" s="33" t="s">
        <v>738</v>
      </c>
      <c r="L73" s="60" t="s">
        <v>525</v>
      </c>
      <c r="M73" s="68">
        <v>46162</v>
      </c>
      <c r="N73" s="33" t="s">
        <v>790</v>
      </c>
      <c r="O73" s="10" t="s">
        <v>835</v>
      </c>
      <c r="P73" s="109"/>
    </row>
    <row r="74" spans="2:16" x14ac:dyDescent="0.4">
      <c r="B74" s="13">
        <v>67</v>
      </c>
      <c r="C74" s="92" t="s">
        <v>545</v>
      </c>
      <c r="D74" s="10"/>
      <c r="E74" s="10"/>
      <c r="F74" s="10" t="s">
        <v>626</v>
      </c>
      <c r="G74" s="18" t="s">
        <v>16</v>
      </c>
      <c r="H74" s="10"/>
      <c r="I74" s="10"/>
      <c r="J74" s="10" t="s">
        <v>716</v>
      </c>
      <c r="K74" s="33" t="s">
        <v>708</v>
      </c>
      <c r="L74" s="60" t="s">
        <v>525</v>
      </c>
      <c r="M74" s="68">
        <v>46162</v>
      </c>
      <c r="N74" s="33"/>
      <c r="O74" s="10"/>
    </row>
    <row r="75" spans="2:16" ht="56.25" x14ac:dyDescent="0.4">
      <c r="B75" s="13">
        <v>68</v>
      </c>
      <c r="C75" s="92" t="s">
        <v>545</v>
      </c>
      <c r="D75" s="10"/>
      <c r="E75" s="10" t="s">
        <v>739</v>
      </c>
      <c r="F75" s="10" t="s">
        <v>627</v>
      </c>
      <c r="G75" s="18" t="s">
        <v>16</v>
      </c>
      <c r="H75" s="10"/>
      <c r="I75" s="10"/>
      <c r="J75" s="10" t="s">
        <v>740</v>
      </c>
      <c r="K75" s="33" t="s">
        <v>741</v>
      </c>
      <c r="L75" s="60" t="s">
        <v>525</v>
      </c>
      <c r="M75" s="68">
        <v>46162</v>
      </c>
      <c r="N75" s="33" t="s">
        <v>791</v>
      </c>
      <c r="O75" s="10" t="s">
        <v>792</v>
      </c>
      <c r="P75" s="111"/>
    </row>
    <row r="76" spans="2:16" x14ac:dyDescent="0.4">
      <c r="B76" s="13">
        <v>69</v>
      </c>
      <c r="C76" s="92" t="s">
        <v>545</v>
      </c>
      <c r="D76" s="10"/>
      <c r="E76" s="10"/>
      <c r="F76" s="10" t="s">
        <v>742</v>
      </c>
      <c r="G76" s="18" t="s">
        <v>16</v>
      </c>
      <c r="H76" s="10"/>
      <c r="I76" s="10"/>
      <c r="J76" s="10" t="s">
        <v>743</v>
      </c>
      <c r="K76" s="33" t="s">
        <v>744</v>
      </c>
      <c r="L76" s="60" t="s">
        <v>525</v>
      </c>
      <c r="M76" s="68">
        <v>46162</v>
      </c>
      <c r="N76" s="33" t="s">
        <v>745</v>
      </c>
      <c r="O76" s="10" t="s">
        <v>792</v>
      </c>
      <c r="P76" s="109"/>
    </row>
    <row r="77" spans="2:16" x14ac:dyDescent="0.4">
      <c r="B77" s="13">
        <v>70</v>
      </c>
      <c r="C77" s="92" t="s">
        <v>545</v>
      </c>
      <c r="D77" s="10"/>
      <c r="E77" s="10" t="s">
        <v>746</v>
      </c>
      <c r="F77" s="10" t="s">
        <v>627</v>
      </c>
      <c r="G77" s="18" t="s">
        <v>16</v>
      </c>
      <c r="H77" s="10"/>
      <c r="I77" s="10"/>
      <c r="J77" s="10" t="s">
        <v>747</v>
      </c>
      <c r="K77" s="10" t="s">
        <v>629</v>
      </c>
      <c r="L77" s="60" t="s">
        <v>525</v>
      </c>
      <c r="M77" s="68">
        <v>46162</v>
      </c>
      <c r="N77" s="33"/>
      <c r="O77" s="10"/>
    </row>
    <row r="78" spans="2:16" ht="56.25" x14ac:dyDescent="0.4">
      <c r="B78" s="13">
        <v>71</v>
      </c>
      <c r="C78" s="92" t="s">
        <v>545</v>
      </c>
      <c r="D78" s="10"/>
      <c r="E78" s="10"/>
      <c r="F78" s="10" t="s">
        <v>626</v>
      </c>
      <c r="G78" s="18" t="s">
        <v>16</v>
      </c>
      <c r="H78" s="10"/>
      <c r="I78" s="10"/>
      <c r="J78" s="10" t="s">
        <v>748</v>
      </c>
      <c r="K78" s="33" t="s">
        <v>749</v>
      </c>
      <c r="L78" s="60" t="s">
        <v>783</v>
      </c>
      <c r="M78" s="68">
        <v>46162</v>
      </c>
      <c r="N78" s="33"/>
      <c r="O78" s="10"/>
    </row>
    <row r="79" spans="2:16" x14ac:dyDescent="0.4">
      <c r="B79" s="13">
        <v>72</v>
      </c>
      <c r="C79" s="92" t="s">
        <v>545</v>
      </c>
      <c r="D79" s="10"/>
      <c r="E79" s="10"/>
      <c r="F79" s="10" t="s">
        <v>750</v>
      </c>
      <c r="G79" s="18" t="s">
        <v>16</v>
      </c>
      <c r="H79" s="10"/>
      <c r="I79" s="10"/>
      <c r="J79" s="10" t="s">
        <v>751</v>
      </c>
      <c r="K79" s="33" t="s">
        <v>752</v>
      </c>
      <c r="L79" s="60" t="s">
        <v>525</v>
      </c>
      <c r="M79" s="68">
        <v>46162</v>
      </c>
      <c r="N79" s="33"/>
      <c r="O79" s="10"/>
    </row>
    <row r="80" spans="2:16" x14ac:dyDescent="0.4">
      <c r="B80" s="13">
        <v>73</v>
      </c>
      <c r="C80" s="92" t="s">
        <v>545</v>
      </c>
      <c r="D80" s="10" t="s">
        <v>746</v>
      </c>
      <c r="E80" s="10" t="s">
        <v>753</v>
      </c>
      <c r="F80" s="10" t="s">
        <v>626</v>
      </c>
      <c r="G80" s="18" t="s">
        <v>16</v>
      </c>
      <c r="H80" s="10"/>
      <c r="I80" s="10"/>
      <c r="J80" s="10" t="s">
        <v>754</v>
      </c>
      <c r="K80" s="33" t="s">
        <v>755</v>
      </c>
      <c r="L80" s="60" t="s">
        <v>525</v>
      </c>
      <c r="M80" s="68">
        <v>46162</v>
      </c>
      <c r="N80" s="33"/>
      <c r="O80" s="10"/>
    </row>
    <row r="81" spans="2:15" x14ac:dyDescent="0.4">
      <c r="B81" s="13">
        <v>74</v>
      </c>
      <c r="C81" s="92" t="s">
        <v>545</v>
      </c>
      <c r="D81" s="10"/>
      <c r="E81" s="10"/>
      <c r="F81" s="10" t="s">
        <v>765</v>
      </c>
      <c r="G81" s="18" t="s">
        <v>16</v>
      </c>
      <c r="H81" s="10"/>
      <c r="I81" s="10"/>
      <c r="J81" s="10" t="s">
        <v>756</v>
      </c>
      <c r="K81" s="33" t="s">
        <v>757</v>
      </c>
      <c r="L81" s="60" t="s">
        <v>525</v>
      </c>
      <c r="M81" s="68">
        <v>46162</v>
      </c>
      <c r="N81" s="33"/>
      <c r="O81" s="10"/>
    </row>
    <row r="82" spans="2:15" x14ac:dyDescent="0.4">
      <c r="B82" s="13">
        <v>75</v>
      </c>
      <c r="C82" s="92" t="s">
        <v>545</v>
      </c>
      <c r="D82" s="10"/>
      <c r="E82" s="10" t="s">
        <v>758</v>
      </c>
      <c r="F82" s="10" t="s">
        <v>759</v>
      </c>
      <c r="G82" s="18" t="s">
        <v>16</v>
      </c>
      <c r="H82" s="10"/>
      <c r="I82" s="10"/>
      <c r="J82" s="10" t="s">
        <v>760</v>
      </c>
      <c r="K82" s="33" t="s">
        <v>761</v>
      </c>
      <c r="L82" s="60" t="s">
        <v>525</v>
      </c>
      <c r="M82" s="68">
        <v>46162</v>
      </c>
      <c r="N82" s="33"/>
      <c r="O82" s="10"/>
    </row>
    <row r="83" spans="2:15" x14ac:dyDescent="0.4">
      <c r="B83" s="13">
        <v>76</v>
      </c>
      <c r="C83" s="92" t="s">
        <v>545</v>
      </c>
      <c r="D83" s="10"/>
      <c r="E83" s="10"/>
      <c r="F83" s="10" t="s">
        <v>767</v>
      </c>
      <c r="G83" s="18" t="s">
        <v>16</v>
      </c>
      <c r="H83" s="10"/>
      <c r="I83" s="10"/>
      <c r="J83" s="10" t="s">
        <v>762</v>
      </c>
      <c r="K83" s="33" t="s">
        <v>763</v>
      </c>
      <c r="L83" s="60" t="s">
        <v>525</v>
      </c>
      <c r="M83" s="115">
        <v>46162</v>
      </c>
      <c r="N83" s="118" t="s">
        <v>785</v>
      </c>
      <c r="O83" s="10" t="s">
        <v>792</v>
      </c>
    </row>
    <row r="84" spans="2:15" x14ac:dyDescent="0.4">
      <c r="B84" s="13">
        <v>77</v>
      </c>
      <c r="C84" s="92" t="s">
        <v>545</v>
      </c>
      <c r="D84" s="10"/>
      <c r="E84" s="10" t="s">
        <v>764</v>
      </c>
      <c r="F84" s="10" t="s">
        <v>626</v>
      </c>
      <c r="G84" s="18" t="s">
        <v>16</v>
      </c>
      <c r="H84" s="10"/>
      <c r="I84" s="10"/>
      <c r="J84" s="10" t="s">
        <v>754</v>
      </c>
      <c r="K84" s="33" t="s">
        <v>755</v>
      </c>
      <c r="L84" s="60" t="s">
        <v>525</v>
      </c>
      <c r="M84" s="68">
        <v>46162</v>
      </c>
      <c r="N84" s="33"/>
      <c r="O84" s="10"/>
    </row>
    <row r="85" spans="2:15" x14ac:dyDescent="0.4">
      <c r="B85" s="13">
        <v>78</v>
      </c>
      <c r="C85" s="92" t="s">
        <v>545</v>
      </c>
      <c r="D85" s="10"/>
      <c r="E85" s="10"/>
      <c r="F85" s="10" t="s">
        <v>766</v>
      </c>
      <c r="G85" s="18" t="s">
        <v>16</v>
      </c>
      <c r="H85" s="10"/>
      <c r="I85" s="10"/>
      <c r="J85" s="10" t="s">
        <v>756</v>
      </c>
      <c r="K85" s="33" t="s">
        <v>757</v>
      </c>
      <c r="L85" s="60" t="s">
        <v>525</v>
      </c>
      <c r="M85" s="68">
        <v>46162</v>
      </c>
      <c r="N85" s="33"/>
      <c r="O85" s="10"/>
    </row>
    <row r="86" spans="2:15" x14ac:dyDescent="0.4">
      <c r="B86" s="13">
        <v>79</v>
      </c>
      <c r="C86" s="92" t="s">
        <v>545</v>
      </c>
      <c r="D86" s="10"/>
      <c r="E86" s="10" t="s">
        <v>768</v>
      </c>
      <c r="F86" s="10" t="s">
        <v>759</v>
      </c>
      <c r="G86" s="18" t="s">
        <v>16</v>
      </c>
      <c r="H86" s="10"/>
      <c r="I86" s="10"/>
      <c r="J86" s="10" t="s">
        <v>760</v>
      </c>
      <c r="K86" s="33" t="s">
        <v>761</v>
      </c>
      <c r="L86" s="60" t="s">
        <v>783</v>
      </c>
      <c r="M86" s="68">
        <v>46162</v>
      </c>
      <c r="N86" s="33"/>
      <c r="O86" s="10"/>
    </row>
    <row r="87" spans="2:15" x14ac:dyDescent="0.4">
      <c r="B87" s="13">
        <v>80</v>
      </c>
      <c r="C87" s="92" t="s">
        <v>545</v>
      </c>
      <c r="D87" s="10"/>
      <c r="E87" s="10"/>
      <c r="F87" s="10" t="s">
        <v>770</v>
      </c>
      <c r="G87" s="18" t="s">
        <v>16</v>
      </c>
      <c r="H87" s="10"/>
      <c r="I87" s="10"/>
      <c r="J87" s="10" t="s">
        <v>762</v>
      </c>
      <c r="K87" s="33" t="s">
        <v>771</v>
      </c>
      <c r="L87" s="60" t="s">
        <v>525</v>
      </c>
      <c r="M87" s="68">
        <v>46162</v>
      </c>
      <c r="N87" s="33"/>
      <c r="O87" s="10"/>
    </row>
    <row r="88" spans="2:15" x14ac:dyDescent="0.4">
      <c r="B88" s="13">
        <v>81</v>
      </c>
      <c r="C88" s="92" t="s">
        <v>545</v>
      </c>
      <c r="D88" s="10"/>
      <c r="E88" s="10"/>
      <c r="F88" s="10" t="s">
        <v>769</v>
      </c>
      <c r="G88" s="18" t="s">
        <v>16</v>
      </c>
      <c r="H88" s="10"/>
      <c r="I88" s="10"/>
      <c r="J88" s="10" t="s">
        <v>762</v>
      </c>
      <c r="K88" s="33" t="s">
        <v>763</v>
      </c>
      <c r="L88" s="60" t="s">
        <v>525</v>
      </c>
      <c r="M88" s="68">
        <v>46162</v>
      </c>
      <c r="N88" s="33"/>
      <c r="O88" s="10"/>
    </row>
    <row r="89" spans="2:15" x14ac:dyDescent="0.4">
      <c r="B89" s="13">
        <v>82</v>
      </c>
      <c r="C89" s="92" t="s">
        <v>545</v>
      </c>
      <c r="D89" s="10"/>
      <c r="E89" s="10" t="s">
        <v>772</v>
      </c>
      <c r="F89" s="10" t="s">
        <v>626</v>
      </c>
      <c r="G89" s="18" t="s">
        <v>16</v>
      </c>
      <c r="H89" s="10"/>
      <c r="I89" s="10"/>
      <c r="J89" s="10" t="s">
        <v>754</v>
      </c>
      <c r="K89" s="33" t="s">
        <v>755</v>
      </c>
      <c r="L89" s="60" t="s">
        <v>525</v>
      </c>
      <c r="M89" s="68">
        <v>46162</v>
      </c>
      <c r="N89" s="33"/>
      <c r="O89" s="10"/>
    </row>
    <row r="90" spans="2:15" x14ac:dyDescent="0.4">
      <c r="B90" s="13">
        <v>83</v>
      </c>
      <c r="C90" s="92" t="s">
        <v>545</v>
      </c>
      <c r="D90" s="10"/>
      <c r="E90" s="10"/>
      <c r="F90" s="10" t="s">
        <v>765</v>
      </c>
      <c r="G90" s="18" t="s">
        <v>16</v>
      </c>
      <c r="H90" s="10"/>
      <c r="I90" s="10"/>
      <c r="J90" s="10" t="s">
        <v>756</v>
      </c>
      <c r="K90" s="33" t="s">
        <v>757</v>
      </c>
      <c r="L90" s="60" t="s">
        <v>525</v>
      </c>
      <c r="M90" s="68">
        <v>46162</v>
      </c>
      <c r="N90" s="33"/>
      <c r="O90" s="10"/>
    </row>
    <row r="91" spans="2:15" x14ac:dyDescent="0.4">
      <c r="B91" s="13">
        <v>84</v>
      </c>
      <c r="C91" s="92" t="s">
        <v>545</v>
      </c>
      <c r="D91" s="10"/>
      <c r="E91" s="10" t="s">
        <v>773</v>
      </c>
      <c r="F91" s="10" t="s">
        <v>626</v>
      </c>
      <c r="G91" s="18" t="s">
        <v>16</v>
      </c>
      <c r="H91" s="10"/>
      <c r="I91" s="10"/>
      <c r="J91" s="10" t="s">
        <v>754</v>
      </c>
      <c r="K91" s="33" t="s">
        <v>755</v>
      </c>
      <c r="L91" s="60" t="s">
        <v>525</v>
      </c>
      <c r="M91" s="68">
        <v>46162</v>
      </c>
      <c r="N91" s="33"/>
      <c r="O91" s="10"/>
    </row>
    <row r="92" spans="2:15" x14ac:dyDescent="0.4">
      <c r="B92" s="13">
        <v>85</v>
      </c>
      <c r="C92" s="92" t="s">
        <v>545</v>
      </c>
      <c r="D92" s="10"/>
      <c r="E92" s="10"/>
      <c r="F92" s="10" t="s">
        <v>774</v>
      </c>
      <c r="G92" s="18" t="s">
        <v>16</v>
      </c>
      <c r="H92" s="10"/>
      <c r="I92" s="10"/>
      <c r="J92" s="10" t="s">
        <v>762</v>
      </c>
      <c r="K92" s="33" t="s">
        <v>775</v>
      </c>
      <c r="L92" s="60" t="s">
        <v>525</v>
      </c>
      <c r="M92" s="68">
        <v>46162</v>
      </c>
      <c r="N92" s="33"/>
      <c r="O92" s="10"/>
    </row>
    <row r="93" spans="2:15" x14ac:dyDescent="0.4">
      <c r="B93" s="13">
        <v>86</v>
      </c>
      <c r="C93" s="92" t="s">
        <v>545</v>
      </c>
      <c r="D93" s="10"/>
      <c r="E93" s="10" t="s">
        <v>776</v>
      </c>
      <c r="F93" s="10" t="s">
        <v>626</v>
      </c>
      <c r="G93" s="18" t="s">
        <v>16</v>
      </c>
      <c r="H93" s="10"/>
      <c r="I93" s="10"/>
      <c r="J93" s="10" t="s">
        <v>754</v>
      </c>
      <c r="K93" s="33" t="s">
        <v>755</v>
      </c>
      <c r="L93" s="60" t="s">
        <v>525</v>
      </c>
      <c r="M93" s="68">
        <v>46162</v>
      </c>
      <c r="N93" s="33"/>
      <c r="O93" s="10"/>
    </row>
    <row r="94" spans="2:15" x14ac:dyDescent="0.4">
      <c r="B94" s="13">
        <v>87</v>
      </c>
      <c r="C94" s="92" t="s">
        <v>545</v>
      </c>
      <c r="D94" s="10"/>
      <c r="E94" s="10"/>
      <c r="F94" s="10" t="s">
        <v>765</v>
      </c>
      <c r="G94" s="18" t="s">
        <v>16</v>
      </c>
      <c r="H94" s="10"/>
      <c r="I94" s="10"/>
      <c r="J94" s="10" t="s">
        <v>756</v>
      </c>
      <c r="K94" s="33" t="s">
        <v>757</v>
      </c>
      <c r="L94" s="60" t="s">
        <v>525</v>
      </c>
      <c r="M94" s="68">
        <v>46162</v>
      </c>
      <c r="N94" s="33"/>
      <c r="O94" s="10"/>
    </row>
    <row r="95" spans="2:15" x14ac:dyDescent="0.4">
      <c r="B95" s="13">
        <v>88</v>
      </c>
      <c r="C95" s="92" t="s">
        <v>545</v>
      </c>
      <c r="D95" s="10"/>
      <c r="E95" s="10" t="s">
        <v>631</v>
      </c>
      <c r="F95" s="10" t="s">
        <v>626</v>
      </c>
      <c r="G95" s="18" t="s">
        <v>16</v>
      </c>
      <c r="H95" s="10"/>
      <c r="I95" s="10"/>
      <c r="J95" s="10" t="s">
        <v>754</v>
      </c>
      <c r="K95" s="33" t="s">
        <v>755</v>
      </c>
      <c r="L95" s="60" t="s">
        <v>525</v>
      </c>
      <c r="M95" s="68">
        <v>46162</v>
      </c>
      <c r="N95" s="33"/>
      <c r="O95" s="10"/>
    </row>
    <row r="96" spans="2:15" x14ac:dyDescent="0.4">
      <c r="B96" s="13">
        <v>89</v>
      </c>
      <c r="C96" s="92" t="s">
        <v>545</v>
      </c>
      <c r="D96" s="10"/>
      <c r="E96" s="10"/>
      <c r="F96" s="10" t="s">
        <v>777</v>
      </c>
      <c r="G96" s="18" t="s">
        <v>16</v>
      </c>
      <c r="H96" s="10"/>
      <c r="I96" s="10"/>
      <c r="J96" s="10" t="s">
        <v>762</v>
      </c>
      <c r="K96" s="33" t="s">
        <v>778</v>
      </c>
      <c r="L96" s="60" t="s">
        <v>525</v>
      </c>
      <c r="M96" s="68">
        <v>46162</v>
      </c>
      <c r="N96" s="33"/>
      <c r="O96" s="10"/>
    </row>
    <row r="97" spans="2:15" ht="51" customHeight="1" x14ac:dyDescent="0.4">
      <c r="B97" s="13">
        <v>90</v>
      </c>
      <c r="C97" s="92" t="s">
        <v>787</v>
      </c>
      <c r="D97" s="10"/>
      <c r="E97" s="10" t="s">
        <v>753</v>
      </c>
      <c r="F97" s="10"/>
      <c r="G97" s="18" t="s">
        <v>16</v>
      </c>
      <c r="H97" s="10"/>
      <c r="I97" s="10"/>
      <c r="J97" s="10"/>
      <c r="K97" s="33" t="s">
        <v>786</v>
      </c>
      <c r="L97" s="60" t="s">
        <v>526</v>
      </c>
      <c r="M97" s="68">
        <v>46164</v>
      </c>
      <c r="N97" s="33" t="s">
        <v>798</v>
      </c>
      <c r="O97" s="10"/>
    </row>
    <row r="98" spans="2:15" ht="56.25" x14ac:dyDescent="0.4">
      <c r="B98" s="13">
        <v>91</v>
      </c>
      <c r="C98" s="92" t="s">
        <v>787</v>
      </c>
      <c r="D98" s="10"/>
      <c r="E98" s="10"/>
      <c r="F98" s="10"/>
      <c r="G98" s="18" t="s">
        <v>16</v>
      </c>
      <c r="H98" s="10"/>
      <c r="I98" s="10"/>
      <c r="J98" s="10" t="s">
        <v>788</v>
      </c>
      <c r="K98" s="33" t="s">
        <v>802</v>
      </c>
      <c r="L98" s="60" t="s">
        <v>526</v>
      </c>
      <c r="M98" s="68">
        <v>46164</v>
      </c>
      <c r="N98" s="33" t="s">
        <v>797</v>
      </c>
      <c r="O98" s="10"/>
    </row>
    <row r="99" spans="2:15" ht="93.75" x14ac:dyDescent="0.4">
      <c r="B99" s="13">
        <v>92</v>
      </c>
      <c r="C99" s="92" t="s">
        <v>787</v>
      </c>
      <c r="D99" s="10"/>
      <c r="E99" s="10" t="s">
        <v>758</v>
      </c>
      <c r="F99" s="10"/>
      <c r="G99" s="10"/>
      <c r="H99" s="10"/>
      <c r="I99" s="10" t="s">
        <v>810</v>
      </c>
      <c r="J99" s="10" t="s">
        <v>811</v>
      </c>
      <c r="K99" s="33" t="s">
        <v>812</v>
      </c>
      <c r="L99" s="60" t="s">
        <v>526</v>
      </c>
      <c r="M99" s="68">
        <v>46164</v>
      </c>
      <c r="N99" s="33" t="s">
        <v>829</v>
      </c>
      <c r="O99" s="10"/>
    </row>
    <row r="100" spans="2:15" ht="56.25" x14ac:dyDescent="0.4">
      <c r="B100" s="13">
        <v>93</v>
      </c>
      <c r="C100" s="92" t="s">
        <v>787</v>
      </c>
      <c r="D100" s="10"/>
      <c r="E100" s="10" t="s">
        <v>764</v>
      </c>
      <c r="F100" s="10"/>
      <c r="G100" s="10"/>
      <c r="H100" s="10"/>
      <c r="I100" s="10"/>
      <c r="J100" s="10" t="s">
        <v>813</v>
      </c>
      <c r="K100" s="33" t="s">
        <v>814</v>
      </c>
      <c r="L100" s="60" t="s">
        <v>526</v>
      </c>
      <c r="M100" s="68">
        <v>46164</v>
      </c>
      <c r="N100" s="33" t="s">
        <v>828</v>
      </c>
      <c r="O100" s="10"/>
    </row>
    <row r="101" spans="2:15" ht="56.25" x14ac:dyDescent="0.4">
      <c r="B101" s="13">
        <v>94</v>
      </c>
      <c r="C101" s="92" t="s">
        <v>787</v>
      </c>
      <c r="D101" s="10" t="s">
        <v>816</v>
      </c>
      <c r="E101" s="10"/>
      <c r="F101" s="10" t="s">
        <v>817</v>
      </c>
      <c r="G101" s="10"/>
      <c r="H101" s="10"/>
      <c r="I101" s="10"/>
      <c r="J101" s="10"/>
      <c r="K101" s="33" t="s">
        <v>818</v>
      </c>
      <c r="L101" s="60" t="s">
        <v>526</v>
      </c>
      <c r="M101" s="68">
        <v>46165</v>
      </c>
      <c r="N101" s="33" t="s">
        <v>841</v>
      </c>
      <c r="O101" s="10"/>
    </row>
    <row r="102" spans="2:15" ht="75" x14ac:dyDescent="0.4">
      <c r="B102" s="13">
        <v>95</v>
      </c>
      <c r="C102" s="92" t="s">
        <v>787</v>
      </c>
      <c r="D102" s="10" t="s">
        <v>795</v>
      </c>
      <c r="E102" s="10"/>
      <c r="F102" s="10"/>
      <c r="G102" s="10"/>
      <c r="H102" s="10"/>
      <c r="I102" s="10"/>
      <c r="J102" s="10"/>
      <c r="K102" s="33" t="s">
        <v>824</v>
      </c>
      <c r="L102" s="60" t="s">
        <v>526</v>
      </c>
      <c r="M102" s="68">
        <v>46165</v>
      </c>
      <c r="N102" s="33" t="s">
        <v>823</v>
      </c>
      <c r="O102" s="10"/>
    </row>
    <row r="103" spans="2:15" ht="56.25" x14ac:dyDescent="0.4">
      <c r="B103" s="13">
        <v>96</v>
      </c>
      <c r="C103" s="92" t="s">
        <v>787</v>
      </c>
      <c r="D103" s="10" t="s">
        <v>825</v>
      </c>
      <c r="E103" s="10"/>
      <c r="F103" s="10"/>
      <c r="G103" s="10"/>
      <c r="H103" s="10"/>
      <c r="I103" s="10"/>
      <c r="J103" s="10"/>
      <c r="K103" s="33" t="s">
        <v>826</v>
      </c>
      <c r="L103" s="60" t="s">
        <v>526</v>
      </c>
      <c r="M103" s="68">
        <v>46165</v>
      </c>
      <c r="N103" s="33" t="s">
        <v>827</v>
      </c>
      <c r="O103" s="10"/>
    </row>
    <row r="104" spans="2:15" ht="31.5" customHeight="1" x14ac:dyDescent="0.4">
      <c r="B104" s="13">
        <v>97</v>
      </c>
      <c r="C104" s="92" t="s">
        <v>787</v>
      </c>
      <c r="D104" s="10" t="s">
        <v>830</v>
      </c>
      <c r="E104" s="10"/>
      <c r="F104" s="10"/>
      <c r="G104" s="10"/>
      <c r="H104" s="10"/>
      <c r="I104" s="10"/>
      <c r="J104" s="10"/>
      <c r="K104" s="33" t="s">
        <v>831</v>
      </c>
      <c r="L104" s="60" t="s">
        <v>526</v>
      </c>
      <c r="M104" s="68">
        <v>46165</v>
      </c>
      <c r="N104" s="33" t="s">
        <v>832</v>
      </c>
      <c r="O104" s="10"/>
    </row>
    <row r="105" spans="2:15" ht="90.75" customHeight="1" x14ac:dyDescent="0.4">
      <c r="B105" s="13">
        <v>98</v>
      </c>
      <c r="C105" s="92" t="s">
        <v>787</v>
      </c>
      <c r="D105" s="10"/>
      <c r="E105" s="10"/>
      <c r="F105" s="10"/>
      <c r="G105" s="10"/>
      <c r="H105" s="10"/>
      <c r="I105" s="10"/>
      <c r="J105" s="10"/>
      <c r="K105" s="33" t="s">
        <v>833</v>
      </c>
      <c r="L105" s="60" t="s">
        <v>526</v>
      </c>
      <c r="M105" s="68">
        <v>46165</v>
      </c>
      <c r="N105" s="33" t="s">
        <v>834</v>
      </c>
      <c r="O105" s="10"/>
    </row>
    <row r="106" spans="2:15" ht="63.75" customHeight="1" x14ac:dyDescent="0.4">
      <c r="B106" s="13">
        <v>99</v>
      </c>
      <c r="C106" s="92" t="s">
        <v>787</v>
      </c>
      <c r="D106" s="10" t="s">
        <v>836</v>
      </c>
      <c r="E106" s="10"/>
      <c r="F106" s="10"/>
      <c r="G106" s="10"/>
      <c r="H106" s="10"/>
      <c r="I106" s="10"/>
      <c r="J106" s="10"/>
      <c r="K106" s="33" t="s">
        <v>837</v>
      </c>
      <c r="L106" s="60" t="s">
        <v>526</v>
      </c>
      <c r="M106" s="68">
        <v>46165</v>
      </c>
      <c r="N106" s="33" t="s">
        <v>838</v>
      </c>
      <c r="O106" s="10"/>
    </row>
    <row r="107" spans="2:15" ht="93.75" x14ac:dyDescent="0.4">
      <c r="B107" s="13">
        <v>100</v>
      </c>
      <c r="C107" s="92" t="s">
        <v>787</v>
      </c>
      <c r="D107" s="10" t="s">
        <v>753</v>
      </c>
      <c r="E107" s="10"/>
      <c r="F107" s="10"/>
      <c r="G107" s="10"/>
      <c r="H107" s="10"/>
      <c r="I107" s="10"/>
      <c r="J107" s="10"/>
      <c r="K107" s="33" t="s">
        <v>842</v>
      </c>
      <c r="L107" s="60" t="s">
        <v>526</v>
      </c>
      <c r="M107" s="68">
        <v>46167</v>
      </c>
      <c r="N107" s="33" t="s">
        <v>843</v>
      </c>
      <c r="O107" s="10"/>
    </row>
    <row r="108" spans="2:15" ht="56.25" x14ac:dyDescent="0.4">
      <c r="B108" s="13">
        <v>101</v>
      </c>
      <c r="C108" s="92" t="s">
        <v>787</v>
      </c>
      <c r="D108" s="10" t="s">
        <v>739</v>
      </c>
      <c r="E108" s="10"/>
      <c r="F108" s="10"/>
      <c r="G108" s="10"/>
      <c r="H108" s="10"/>
      <c r="I108" s="10"/>
      <c r="J108" s="10"/>
      <c r="K108" s="33" t="s">
        <v>845</v>
      </c>
      <c r="L108" s="60" t="s">
        <v>526</v>
      </c>
      <c r="M108" s="68">
        <v>46168</v>
      </c>
      <c r="N108" s="33" t="s">
        <v>846</v>
      </c>
      <c r="O108" s="10"/>
    </row>
    <row r="109" spans="2:15" x14ac:dyDescent="0.4">
      <c r="B109" s="13">
        <v>102</v>
      </c>
      <c r="C109" s="92"/>
      <c r="D109" s="10"/>
      <c r="E109" s="10"/>
      <c r="F109" s="10"/>
      <c r="G109" s="10"/>
      <c r="H109" s="10"/>
      <c r="I109" s="10"/>
      <c r="J109" s="10"/>
      <c r="K109" s="33"/>
      <c r="L109" s="60"/>
      <c r="M109" s="54"/>
      <c r="N109" s="33"/>
      <c r="O109" s="10"/>
    </row>
    <row r="110" spans="2:15" x14ac:dyDescent="0.4">
      <c r="B110" s="13">
        <v>103</v>
      </c>
      <c r="C110" s="92"/>
      <c r="D110" s="10"/>
      <c r="E110" s="10"/>
      <c r="F110" s="10"/>
      <c r="G110" s="10"/>
      <c r="H110" s="10"/>
      <c r="I110" s="10"/>
      <c r="J110" s="10"/>
      <c r="K110" s="33"/>
      <c r="L110" s="60"/>
      <c r="M110" s="54"/>
      <c r="N110" s="33"/>
      <c r="O110" s="10"/>
    </row>
    <row r="111" spans="2:15" x14ac:dyDescent="0.4">
      <c r="B111" s="13">
        <v>104</v>
      </c>
      <c r="C111" s="92"/>
      <c r="D111" s="10"/>
      <c r="E111" s="10"/>
      <c r="F111" s="10"/>
      <c r="G111" s="10"/>
      <c r="H111" s="10"/>
      <c r="I111" s="10"/>
      <c r="J111" s="10"/>
      <c r="K111" s="33"/>
      <c r="L111" s="60"/>
      <c r="M111" s="54"/>
      <c r="N111" s="33"/>
      <c r="O111" s="10"/>
    </row>
  </sheetData>
  <mergeCells count="1">
    <mergeCell ref="D5:F5"/>
  </mergeCells>
  <phoneticPr fontId="2"/>
  <conditionalFormatting sqref="B1:B1048576 L1:L1048576">
    <cfRule type="expression" dxfId="8" priority="30">
      <formula>$L1="△"</formula>
    </cfRule>
    <cfRule type="expression" dxfId="7" priority="31">
      <formula>$L1="×"</formula>
    </cfRule>
  </conditionalFormatting>
  <conditionalFormatting sqref="C1:C1048576">
    <cfRule type="cellIs" dxfId="6" priority="25" operator="equal">
      <formula>"長沢"</formula>
    </cfRule>
    <cfRule type="cellIs" dxfId="5" priority="26" operator="equal">
      <formula>"斉藤"</formula>
    </cfRule>
    <cfRule type="cellIs" dxfId="4" priority="27" operator="equal">
      <formula>"光沢"</formula>
    </cfRule>
  </conditionalFormatting>
  <conditionalFormatting sqref="G1:G1048576">
    <cfRule type="cellIs" dxfId="3" priority="1" operator="equal">
      <formula>"準異常系"</formula>
    </cfRule>
    <cfRule type="cellIs" dxfId="2" priority="2" operator="equal">
      <formula>"正常系"</formula>
    </cfRule>
  </conditionalFormatting>
  <dataValidations count="2">
    <dataValidation type="list" allowBlank="1" showInputMessage="1" showErrorMessage="1" sqref="C1 C4:C1048576" xr:uid="{F8B7BDD4-D9BB-4CC4-A0E6-21D34A62F4E5}">
      <formula1>"光沢,斉藤,長沢"</formula1>
    </dataValidation>
    <dataValidation type="list" allowBlank="1" showInputMessage="1" showErrorMessage="1" sqref="L7:L111" xr:uid="{04BC64FE-FD18-445E-80FB-D04DF4BC2329}">
      <formula1>"〇,△,×"</formula1>
    </dataValidation>
  </dataValidations>
  <pageMargins left="0.70866141732283472" right="0.70866141732283472" top="0.74803149606299213" bottom="0.74803149606299213" header="0.31496062992125984" footer="0.31496062992125984"/>
  <pageSetup paperSize="9" scale="52" fitToHeight="0" orientation="landscape"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5558680D-22FA-40AD-B3A9-A1A3DD6422E6}">
          <x14:formula1>
            <xm:f>参考!$A$2:$A$4</xm:f>
          </x14:formula1>
          <xm:sqref>G7:G98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5318-06C7-43FF-8A56-16486987D242}">
  <sheetPr>
    <pageSetUpPr fitToPage="1"/>
  </sheetPr>
  <dimension ref="B1:J10"/>
  <sheetViews>
    <sheetView zoomScale="80" zoomScaleNormal="80" workbookViewId="0">
      <pane ySplit="3" topLeftCell="A4" activePane="bottomLeft" state="frozen"/>
      <selection activeCell="C4" sqref="C4"/>
      <selection pane="bottomLeft" activeCell="F4" sqref="F4"/>
    </sheetView>
  </sheetViews>
  <sheetFormatPr defaultColWidth="8.75" defaultRowHeight="18.75" x14ac:dyDescent="0.4"/>
  <cols>
    <col min="1" max="1" width="2.5" style="2" bestFit="1" customWidth="1"/>
    <col min="2" max="2" width="4.5" style="1" bestFit="1" customWidth="1"/>
    <col min="3" max="4" width="19.25" style="1" bestFit="1" customWidth="1"/>
    <col min="5" max="5" width="23.5" style="1" bestFit="1" customWidth="1"/>
    <col min="6" max="6" width="8.625" style="1" bestFit="1" customWidth="1"/>
    <col min="7" max="7" width="38" style="1" customWidth="1"/>
    <col min="8" max="8" width="42.125" style="1" bestFit="1" customWidth="1"/>
    <col min="9" max="10" width="38" style="1" customWidth="1"/>
    <col min="11" max="16384" width="8.75" style="2"/>
  </cols>
  <sheetData>
    <row r="1" spans="2:10" ht="19.5" thickBot="1" x14ac:dyDescent="0.45"/>
    <row r="2" spans="2:10" ht="37.5" x14ac:dyDescent="0.4">
      <c r="B2" s="3"/>
      <c r="C2" s="134" t="s">
        <v>0</v>
      </c>
      <c r="D2" s="134"/>
      <c r="E2" s="134"/>
      <c r="F2" s="4"/>
      <c r="G2" s="4" t="s">
        <v>1</v>
      </c>
      <c r="H2" s="4" t="s">
        <v>2</v>
      </c>
      <c r="I2" s="4" t="s">
        <v>3</v>
      </c>
      <c r="J2" s="5"/>
    </row>
    <row r="3" spans="2:10" ht="19.5" thickBot="1" x14ac:dyDescent="0.45">
      <c r="B3" s="6" t="s">
        <v>4</v>
      </c>
      <c r="C3" s="7" t="s">
        <v>5</v>
      </c>
      <c r="D3" s="7" t="s">
        <v>6</v>
      </c>
      <c r="E3" s="7" t="s">
        <v>7</v>
      </c>
      <c r="F3" s="7" t="s">
        <v>8</v>
      </c>
      <c r="G3" s="7" t="s">
        <v>9</v>
      </c>
      <c r="H3" s="7" t="s">
        <v>10</v>
      </c>
      <c r="I3" s="7" t="s">
        <v>11</v>
      </c>
      <c r="J3" s="8" t="s">
        <v>12</v>
      </c>
    </row>
    <row r="4" spans="2:10" x14ac:dyDescent="0.4">
      <c r="B4" s="3"/>
      <c r="C4" s="4"/>
      <c r="D4" s="4"/>
      <c r="E4" s="4"/>
      <c r="F4" s="4" t="s">
        <v>478</v>
      </c>
      <c r="G4" s="4"/>
      <c r="H4" s="4" t="s">
        <v>479</v>
      </c>
      <c r="I4" s="4"/>
      <c r="J4" s="5" t="s">
        <v>480</v>
      </c>
    </row>
    <row r="5" spans="2:10" x14ac:dyDescent="0.4">
      <c r="B5" s="9"/>
      <c r="C5" s="10"/>
      <c r="D5" s="10"/>
      <c r="E5" s="10"/>
      <c r="F5" s="10" t="s">
        <v>478</v>
      </c>
      <c r="G5" s="10"/>
      <c r="H5" s="10" t="s">
        <v>481</v>
      </c>
      <c r="I5" s="10"/>
      <c r="J5" s="11" t="s">
        <v>482</v>
      </c>
    </row>
    <row r="6" spans="2:10" x14ac:dyDescent="0.4">
      <c r="B6" s="9"/>
      <c r="C6" s="10"/>
      <c r="D6" s="10"/>
      <c r="E6" s="10"/>
      <c r="F6" s="10" t="s">
        <v>478</v>
      </c>
      <c r="G6" s="10"/>
      <c r="H6" s="10" t="s">
        <v>483</v>
      </c>
      <c r="I6" s="10"/>
      <c r="J6" s="11" t="s">
        <v>484</v>
      </c>
    </row>
    <row r="7" spans="2:10" x14ac:dyDescent="0.4">
      <c r="B7" s="9"/>
      <c r="C7" s="10"/>
      <c r="D7" s="10"/>
      <c r="E7" s="10"/>
      <c r="F7" s="10"/>
      <c r="G7" s="10"/>
      <c r="H7" s="10"/>
      <c r="I7" s="10"/>
      <c r="J7" s="11"/>
    </row>
    <row r="8" spans="2:10" x14ac:dyDescent="0.4">
      <c r="B8" s="9"/>
      <c r="C8" s="10"/>
      <c r="D8" s="10"/>
      <c r="E8" s="10"/>
      <c r="F8" s="10"/>
      <c r="G8" s="10"/>
      <c r="H8" s="10" t="s">
        <v>485</v>
      </c>
      <c r="I8" s="10"/>
      <c r="J8" s="11"/>
    </row>
    <row r="9" spans="2:10" x14ac:dyDescent="0.4">
      <c r="B9" s="9"/>
      <c r="C9" s="10"/>
      <c r="D9" s="10"/>
      <c r="E9" s="10"/>
      <c r="F9" s="10"/>
      <c r="G9" s="10"/>
      <c r="H9" s="10"/>
      <c r="I9" s="10"/>
      <c r="J9" s="11"/>
    </row>
    <row r="10" spans="2:10" ht="19.5" thickBot="1" x14ac:dyDescent="0.45">
      <c r="B10" s="6"/>
      <c r="C10" s="7"/>
      <c r="D10" s="7"/>
      <c r="E10" s="7"/>
      <c r="F10" s="7"/>
      <c r="G10" s="7"/>
      <c r="H10" s="7" t="s">
        <v>486</v>
      </c>
      <c r="I10" s="12"/>
      <c r="J10" s="8"/>
    </row>
  </sheetData>
  <mergeCells count="1">
    <mergeCell ref="C2:E2"/>
  </mergeCells>
  <phoneticPr fontId="2"/>
  <conditionalFormatting sqref="F4:F10">
    <cfRule type="cellIs" dxfId="1" priority="1" operator="equal">
      <formula>"準異常系"</formula>
    </cfRule>
    <cfRule type="cellIs" dxfId="0" priority="2" operator="equal">
      <formula>"正常系"</formula>
    </cfRule>
  </conditionalFormatting>
  <pageMargins left="0.70866141732283472" right="0.70866141732283472" top="0.74803149606299213" bottom="0.74803149606299213" header="0.31496062992125984" footer="0.31496062992125984"/>
  <pageSetup paperSize="9" scale="51" fitToHeight="0"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2D8595AE-5C6D-476C-8C65-D3C80F3C357D}">
          <x14:formula1>
            <xm:f>参考!$A$2:$A$4</xm:f>
          </x14:formula1>
          <xm:sqref>F4:F10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DA8E-B0A1-43F2-8EDC-32B5E07F862B}">
  <dimension ref="A1:B15"/>
  <sheetViews>
    <sheetView workbookViewId="0">
      <selection activeCell="A5" sqref="A5"/>
    </sheetView>
  </sheetViews>
  <sheetFormatPr defaultRowHeight="18.75" x14ac:dyDescent="0.4"/>
  <sheetData>
    <row r="1" spans="1:2" x14ac:dyDescent="0.4">
      <c r="A1" t="s">
        <v>487</v>
      </c>
    </row>
    <row r="2" spans="1:2" x14ac:dyDescent="0.4">
      <c r="A2" t="s">
        <v>16</v>
      </c>
      <c r="B2" t="s">
        <v>488</v>
      </c>
    </row>
    <row r="3" spans="1:2" x14ac:dyDescent="0.4">
      <c r="A3" t="s">
        <v>23</v>
      </c>
      <c r="B3" t="s">
        <v>489</v>
      </c>
    </row>
    <row r="4" spans="1:2" x14ac:dyDescent="0.4">
      <c r="A4" t="s">
        <v>478</v>
      </c>
      <c r="B4" t="s">
        <v>490</v>
      </c>
    </row>
    <row r="6" spans="1:2" x14ac:dyDescent="0.4">
      <c r="A6" t="s">
        <v>491</v>
      </c>
    </row>
    <row r="7" spans="1:2" x14ac:dyDescent="0.4">
      <c r="A7" t="s">
        <v>492</v>
      </c>
    </row>
    <row r="8" spans="1:2" x14ac:dyDescent="0.4">
      <c r="A8" t="s">
        <v>493</v>
      </c>
      <c r="B8" t="s">
        <v>494</v>
      </c>
    </row>
    <row r="9" spans="1:2" x14ac:dyDescent="0.4">
      <c r="A9" t="s">
        <v>495</v>
      </c>
      <c r="B9" t="s">
        <v>496</v>
      </c>
    </row>
    <row r="10" spans="1:2" x14ac:dyDescent="0.4">
      <c r="A10" t="s">
        <v>497</v>
      </c>
      <c r="B10" t="s">
        <v>498</v>
      </c>
    </row>
    <row r="11" spans="1:2" x14ac:dyDescent="0.4">
      <c r="A11" t="s">
        <v>499</v>
      </c>
      <c r="B11" t="s">
        <v>500</v>
      </c>
    </row>
    <row r="12" spans="1:2" x14ac:dyDescent="0.4">
      <c r="A12" t="s">
        <v>501</v>
      </c>
      <c r="B12" t="s">
        <v>502</v>
      </c>
    </row>
    <row r="13" spans="1:2" x14ac:dyDescent="0.4">
      <c r="B13" t="s">
        <v>503</v>
      </c>
    </row>
    <row r="15" spans="1:2" x14ac:dyDescent="0.4">
      <c r="A15" t="s">
        <v>504</v>
      </c>
    </row>
  </sheetData>
  <phoneticPr fontId="2"/>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Auth</vt:lpstr>
      <vt:lpstr>Task</vt:lpstr>
      <vt:lpstr>Stock</vt:lpstr>
      <vt:lpstr>Other</vt:lpstr>
      <vt:lpstr>異常系</vt:lpstr>
      <vt:lpstr>参考</vt:lpstr>
      <vt:lpstr>Auth!Print_Titles</vt:lpstr>
      <vt:lpstr>Other!Print_Titles</vt:lpstr>
      <vt:lpstr>Stock!Print_Titles</vt:lpstr>
      <vt:lpstr>Task!Print_Titles</vt:lpstr>
      <vt:lpstr>異常系!Print_Titles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mkeiri2f</dc:creator>
  <cp:lastModifiedBy>南花 長沢</cp:lastModifiedBy>
  <dcterms:created xsi:type="dcterms:W3CDTF">2026-05-11T03:20:51Z</dcterms:created>
  <dcterms:modified xsi:type="dcterms:W3CDTF">2026-06-03T12:55:19Z</dcterms:modified>
</cp:coreProperties>
</file>